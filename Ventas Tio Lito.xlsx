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7B8CECDB-1D8A-4EDE-BA42-0751BD62AB1E}" xr6:coauthVersionLast="47" xr6:coauthVersionMax="47" xr10:uidLastSave="{00000000-0000-0000-0000-000000000000}"/>
  <bookViews>
    <workbookView xWindow="-120" yWindow="-120" windowWidth="29040" windowHeight="16440" tabRatio="500" xr2:uid="{00000000-000D-0000-FFFF-FFFF00000000}"/>
  </bookViews>
  <sheets>
    <sheet name="Ventas" sheetId="1" r:id="rId1"/>
    <sheet name="Cómo usar" sheetId="2" r:id="rId2"/>
  </sheets>
  <definedNames>
    <definedName name="_xlnm.Print_Area" localSheetId="0">Ventas!$A$1:$N$157</definedName>
    <definedName name="_xlnm.Print_Titles" localSheetId="0">Ventas!$1:$7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32" i="1" l="1"/>
  <c r="N31" i="1"/>
  <c r="N30" i="1"/>
  <c r="N26" i="1"/>
  <c r="N23" i="1"/>
  <c r="I7" i="1"/>
  <c r="H7" i="1"/>
  <c r="N27" i="1" s="1"/>
  <c r="G7" i="1"/>
  <c r="N13" i="1" s="1"/>
  <c r="F7" i="1"/>
  <c r="N12" i="1" s="1"/>
  <c r="E7" i="1"/>
  <c r="D7" i="1"/>
  <c r="N18" i="1" s="1"/>
  <c r="C7" i="1"/>
  <c r="B7" i="1"/>
  <c r="N7" i="1" s="1"/>
  <c r="M5" i="1"/>
  <c r="N8" i="1" l="1"/>
  <c r="N14" i="1"/>
  <c r="N9" i="1"/>
  <c r="N17" i="1"/>
  <c r="N19" i="1"/>
  <c r="N21" i="1"/>
  <c r="N20" i="1" l="1"/>
  <c r="N22" i="1" s="1"/>
</calcChain>
</file>

<file path=xl/sharedStrings.xml><?xml version="1.0" encoding="utf-8"?>
<sst xmlns="http://schemas.openxmlformats.org/spreadsheetml/2006/main" count="59" uniqueCount="53">
  <si>
    <t>DÍA</t>
  </si>
  <si>
    <t>CAJA INICIAL</t>
  </si>
  <si>
    <t>BENCINA DEL DÍA</t>
  </si>
  <si>
    <t>CAJERO</t>
  </si>
  <si>
    <t>TRANSFERENCIAS</t>
  </si>
  <si>
    <t>DÉBITO</t>
  </si>
  <si>
    <t>EFECTIVO</t>
  </si>
  <si>
    <t>VUELTOS</t>
  </si>
  <si>
    <t>PEDIDO Y NOTAS (opcional)</t>
  </si>
  <si>
    <t>N°</t>
  </si>
  <si>
    <t>Venta</t>
  </si>
  <si>
    <t>Deli</t>
  </si>
  <si>
    <t>(aparte)</t>
  </si>
  <si>
    <t>Pedido (teléfono)</t>
  </si>
  <si>
    <t>Estado</t>
  </si>
  <si>
    <t>Notas</t>
  </si>
  <si>
    <t>TRANSFERENCIA / DÉBITO</t>
  </si>
  <si>
    <t>TOTAL</t>
  </si>
  <si>
    <t>Total del día (Transferencia + Débito)</t>
  </si>
  <si>
    <t>Menos delivery</t>
  </si>
  <si>
    <t>Total menos delivery</t>
  </si>
  <si>
    <t>Total efectivo</t>
  </si>
  <si>
    <t>Efectivo menos delivery</t>
  </si>
  <si>
    <t>CIERRE DEL DÍA</t>
  </si>
  <si>
    <t>Ventas en Transferencias</t>
  </si>
  <si>
    <t>Ventas en Débito</t>
  </si>
  <si>
    <t>Ventas en Efectivo</t>
  </si>
  <si>
    <t>Total ventas (Transf. + Débito + Efectivo)</t>
  </si>
  <si>
    <t>Menos: suma total de todo el delivery</t>
  </si>
  <si>
    <t>TOTAL FINAL (ventas menos delivery)</t>
  </si>
  <si>
    <t>Bencina del día (informativo, no se resta)</t>
  </si>
  <si>
    <t>CAJA (SOLO PARA VUELTOS)</t>
  </si>
  <si>
    <t>Caja inicial (no se suma a nada)</t>
  </si>
  <si>
    <t>Vueltos entregados hoy</t>
  </si>
  <si>
    <t>REVISIÓN DE PEDIDOS</t>
  </si>
  <si>
    <t>Pedidos con cambio</t>
  </si>
  <si>
    <t>Errores corregidos</t>
  </si>
  <si>
    <t>Pedidos no recibidos (anulados)</t>
  </si>
  <si>
    <t>Cómo llenar:
• Cada venta va en una fila.
• En Deli anota lo que cuesta el delivery de esa venta.
• Vueltos: anota el vuelto entregado; sale de la caja inicial y no se suma.
• Pedido, Estado y Notas son opcionales. Solo "No recibido" anula la venta: no se suma a ningún total.
• Solo escribes en celdas de letra azul; lo demás se calcula solo.</t>
  </si>
  <si>
    <t>CÓMO USAR LA PLANILLA</t>
  </si>
  <si>
    <t>Arriba, en las celdas amarillas, escribe el día, el nombre del cajero (queda rojo si está vacío), la caja inicial (solo sirve para dar vueltos) y lo que costó la bencina (por defecto $10.000).</t>
  </si>
  <si>
    <t>Escribe cada venta en una fila nueva: en la columna Venta del medio de pago (Transferencias, Débito o Efectivo).</t>
  </si>
  <si>
    <t>Si esa venta tuvo delivery, anota lo que cuesta el delivery en la columna Deli que está justo al lado.</t>
  </si>
  <si>
    <t>Opcional: en Pedido puedes anotar el teléfono del cliente (ej: +569 3536 2025). Si hubo un cambio, un error o no recibieron el pedido, elige el Estado y escribe el detalle en Notas. Si eliges "No recibido", ese pedido queda anulado: se ve tachado y no se suma a ningún total (ni venta, ni delivery, ni vuelto).</t>
  </si>
  <si>
    <t>Si el Deli es mayor que la venta, la celda se pone roja para avisarte que hay un error.</t>
  </si>
  <si>
    <t>Vueltos: anota el vuelto que entregas (ej: cliente paga con $30.000 una venta de $25.000 → vuelto 5000). Sale de la caja inicial y no se suma a ningún total.</t>
  </si>
  <si>
    <t>La fila TOTAL (arriba) y el panel RESUMEN (a la derecha) se actualizan solos. No escribas en ellos. El TOTAL FINAL del Cierre del día es Transferencias + Débito + Efectivo menos todo el delivery.</t>
  </si>
  <si>
    <t>Para un nuevo día: copia la hoja, borra lo escrito en las columnas B a K y cambia el día, el cajero y la caja inicial.</t>
  </si>
  <si>
    <t>EJEMPLO</t>
  </si>
  <si>
    <t>Venta de $10.000 pagada por transferencia, con $2.000 de delivery → Transferencias: 10000 y Deli (al lado): 2000. En el Cierre del día suma $10.000 en Transferencias y los $2.000 aparecen en el total de delivery, y recién en el TOTAL FINAL se restan.</t>
  </si>
  <si>
    <t>SUPUESTOS</t>
  </si>
  <si>
    <t>En el Cierre del día, las ventas de Transferencias, Débito y Efectivo se muestran completas, sin descontar el delivery. El delivery se suma aparte y se resta una sola vez para dar el TOTAL FINAL. La bencina ($10.000, dato entregado por ti) es solo informativa y no se resta. La caja inicial no se suma a ningún total: es únicamente para dar vueltos.</t>
  </si>
  <si>
    <t>VENTAS TIO LITO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</si>
</sst>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&quot; de &quot;mmmm\ yyyy"/>
    <numFmt numFmtId="165" formatCode="\$#,##0"/>
  </numFmts>
  <fonts count="28" x14ac:knownFonts="1">
    <font>
      <sz val="11"/>
      <color theme="1"/>
      <name val="Calibri"/>
      <family val="2"/>
      <charset val="1"/>
    </font>
    <font>
      <b/>
      <sz val="18"/>
      <color rgb="FFFFFFFF"/>
      <name val="Arial"/>
      <charset val="1"/>
    </font>
    <font>
      <b/>
      <sz val="10"/>
      <color rgb="FFFFFFFF"/>
      <name val="Arial"/>
      <charset val="1"/>
    </font>
    <font>
      <b/>
      <sz val="12"/>
      <color rgb="FF0000FF"/>
      <name val="Arial"/>
      <charset val="1"/>
    </font>
    <font>
      <b/>
      <sz val="11"/>
      <color rgb="FFFFFFFF"/>
      <name val="Arial"/>
      <charset val="1"/>
    </font>
    <font>
      <b/>
      <sz val="12"/>
      <color rgb="FFFFFFFF"/>
      <name val="Arial"/>
      <charset val="1"/>
    </font>
    <font>
      <b/>
      <sz val="10"/>
      <color rgb="FF1F4E78"/>
      <name val="Arial"/>
      <charset val="1"/>
    </font>
    <font>
      <b/>
      <sz val="10"/>
      <color rgb="FFC55A11"/>
      <name val="Arial"/>
      <charset val="1"/>
    </font>
    <font>
      <b/>
      <sz val="10"/>
      <color rgb="FF1F7A8C"/>
      <name val="Arial"/>
      <charset val="1"/>
    </font>
    <font>
      <b/>
      <sz val="10"/>
      <color rgb="FF548235"/>
      <name val="Arial"/>
      <charset val="1"/>
    </font>
    <font>
      <i/>
      <sz val="10"/>
      <color rgb="FF595959"/>
      <name val="Arial"/>
      <charset val="1"/>
    </font>
    <font>
      <b/>
      <sz val="10"/>
      <color rgb="FF6B5B95"/>
      <name val="Arial"/>
      <charset val="1"/>
    </font>
    <font>
      <b/>
      <sz val="9"/>
      <color rgb="FFFFFFFF"/>
      <name val="Arial"/>
      <charset val="1"/>
    </font>
    <font>
      <b/>
      <sz val="11"/>
      <color rgb="FF1F4E78"/>
      <name val="Arial"/>
      <charset val="1"/>
    </font>
    <font>
      <b/>
      <sz val="11"/>
      <color rgb="FFC55A11"/>
      <name val="Arial"/>
      <charset val="1"/>
    </font>
    <font>
      <b/>
      <sz val="11"/>
      <color rgb="FF1F7A8C"/>
      <name val="Arial"/>
      <charset val="1"/>
    </font>
    <font>
      <b/>
      <sz val="11"/>
      <color rgb="FF548235"/>
      <name val="Arial"/>
      <charset val="1"/>
    </font>
    <font>
      <b/>
      <sz val="11"/>
      <color rgb="FF595959"/>
      <name val="Arial"/>
      <charset val="1"/>
    </font>
    <font>
      <b/>
      <sz val="10"/>
      <name val="Arial"/>
      <charset val="1"/>
    </font>
    <font>
      <b/>
      <sz val="11"/>
      <name val="Arial"/>
      <charset val="1"/>
    </font>
    <font>
      <sz val="9"/>
      <color rgb="FF7F7F7F"/>
      <name val="Arial"/>
      <charset val="1"/>
    </font>
    <font>
      <sz val="10"/>
      <color rgb="FF0000FF"/>
      <name val="Arial"/>
      <charset val="1"/>
    </font>
    <font>
      <sz val="9"/>
      <color rgb="FF0000FF"/>
      <name val="Arial"/>
      <charset val="1"/>
    </font>
    <font>
      <sz val="10"/>
      <name val="Arial"/>
      <charset val="1"/>
    </font>
    <font>
      <b/>
      <sz val="12"/>
      <name val="Arial"/>
      <charset val="1"/>
    </font>
    <font>
      <i/>
      <sz val="9"/>
      <color rgb="FF595959"/>
      <name val="Arial"/>
      <charset val="1"/>
    </font>
    <font>
      <b/>
      <sz val="16"/>
      <color rgb="FFFFFFFF"/>
      <name val="Arial"/>
      <charset val="1"/>
    </font>
    <font>
      <sz val="11"/>
      <name val="Arial"/>
      <charset val="1"/>
    </font>
  </fonts>
  <fills count="2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1E8"/>
      </patternFill>
    </fill>
    <fill>
      <patternFill patternType="solid">
        <fgColor rgb="FF595959"/>
        <bgColor rgb="FF6B5B95"/>
      </patternFill>
    </fill>
    <fill>
      <patternFill patternType="solid">
        <fgColor rgb="FF1F7A8C"/>
        <bgColor rgb="FF2E75B6"/>
      </patternFill>
    </fill>
    <fill>
      <patternFill patternType="solid">
        <fgColor rgb="FF548235"/>
        <bgColor rgb="FF595959"/>
      </patternFill>
    </fill>
    <fill>
      <patternFill patternType="solid">
        <fgColor rgb="FF6B5B95"/>
        <bgColor rgb="FF595959"/>
      </patternFill>
    </fill>
    <fill>
      <patternFill patternType="solid">
        <fgColor rgb="FFDDEBF7"/>
        <bgColor rgb="FFD5EEF2"/>
      </patternFill>
    </fill>
    <fill>
      <patternFill patternType="solid">
        <fgColor rgb="FFFCE4D6"/>
        <bgColor rgb="FFFFF2CC"/>
      </patternFill>
    </fill>
    <fill>
      <patternFill patternType="solid">
        <fgColor rgb="FFD5EEF2"/>
        <bgColor rgb="FFDDEBF7"/>
      </patternFill>
    </fill>
    <fill>
      <patternFill patternType="solid">
        <fgColor rgb="FFE2EFDA"/>
        <bgColor rgb="FFEDEDED"/>
      </patternFill>
    </fill>
    <fill>
      <patternFill patternType="solid">
        <fgColor rgb="FFEDEDED"/>
        <bgColor rgb="FFF2F2F2"/>
      </patternFill>
    </fill>
    <fill>
      <patternFill patternType="solid">
        <fgColor rgb="FFE8E4F0"/>
        <bgColor rgb="FFEDEDED"/>
      </patternFill>
    </fill>
    <fill>
      <patternFill patternType="solid">
        <fgColor rgb="FF2E75B6"/>
        <bgColor rgb="FF1F7A8C"/>
      </patternFill>
    </fill>
    <fill>
      <patternFill patternType="solid">
        <fgColor rgb="FFF2F2F2"/>
        <bgColor rgb="FFF6F4FA"/>
      </patternFill>
    </fill>
    <fill>
      <patternFill patternType="solid">
        <fgColor rgb="FFFFFFFF"/>
        <bgColor rgb="FFFFF8F3"/>
      </patternFill>
    </fill>
    <fill>
      <patternFill patternType="solid">
        <fgColor rgb="FFFFF8F3"/>
        <bgColor rgb="FFF7F7F7"/>
      </patternFill>
    </fill>
    <fill>
      <patternFill patternType="solid">
        <fgColor rgb="FFF4F9FD"/>
        <bgColor rgb="FFF3FAFB"/>
      </patternFill>
    </fill>
    <fill>
      <patternFill patternType="solid">
        <fgColor rgb="FFFFF1E8"/>
        <bgColor rgb="FFFFF8F3"/>
      </patternFill>
    </fill>
    <fill>
      <patternFill patternType="solid">
        <fgColor rgb="FFF3FAFB"/>
        <bgColor rgb="FFF4F9FD"/>
      </patternFill>
    </fill>
    <fill>
      <patternFill patternType="solid">
        <fgColor rgb="FFF6FAF3"/>
        <bgColor rgb="FFF7F7F7"/>
      </patternFill>
    </fill>
    <fill>
      <patternFill patternType="solid">
        <fgColor rgb="FFF7F7F7"/>
        <bgColor rgb="FFF6F4FA"/>
      </patternFill>
    </fill>
    <fill>
      <patternFill patternType="solid">
        <fgColor rgb="FFF6F4FA"/>
        <bgColor rgb="FFF7F7F7"/>
      </patternFill>
    </fill>
    <fill>
      <patternFill patternType="solid">
        <fgColor rgb="FFFFE699"/>
        <bgColor rgb="FFFFF2CC"/>
      </patternFill>
    </fill>
    <fill>
      <patternFill patternType="solid">
        <fgColor rgb="FFC55A11"/>
        <bgColor rgb="FF993300"/>
      </patternFill>
    </fill>
    <fill>
      <patternFill patternType="solid">
        <fgColor rgb="FFF4B6B6"/>
        <bgColor rgb="FFF8CBAD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1F4E78"/>
      </top>
      <bottom style="medium">
        <color rgb="FF1F4E78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65" fontId="3" fillId="3" borderId="1" xfId="0" applyNumberFormat="1" applyFont="1" applyFill="1" applyBorder="1" applyAlignment="1">
      <alignment horizontal="center" vertical="center" wrapText="1"/>
    </xf>
    <xf numFmtId="0" fontId="0" fillId="4" borderId="1" xfId="0" applyFill="1" applyBorder="1"/>
    <xf numFmtId="0" fontId="4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1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165" fontId="13" fillId="8" borderId="2" xfId="0" applyNumberFormat="1" applyFont="1" applyFill="1" applyBorder="1" applyAlignment="1">
      <alignment horizontal="right" vertical="center"/>
    </xf>
    <xf numFmtId="165" fontId="14" fillId="9" borderId="2" xfId="0" applyNumberFormat="1" applyFont="1" applyFill="1" applyBorder="1" applyAlignment="1">
      <alignment horizontal="right" vertical="center"/>
    </xf>
    <xf numFmtId="165" fontId="15" fillId="10" borderId="2" xfId="0" applyNumberFormat="1" applyFont="1" applyFill="1" applyBorder="1" applyAlignment="1">
      <alignment horizontal="right" vertical="center"/>
    </xf>
    <xf numFmtId="165" fontId="16" fillId="11" borderId="2" xfId="0" applyNumberFormat="1" applyFont="1" applyFill="1" applyBorder="1" applyAlignment="1">
      <alignment horizontal="right" vertical="center"/>
    </xf>
    <xf numFmtId="165" fontId="17" fillId="12" borderId="2" xfId="0" applyNumberFormat="1" applyFont="1" applyFill="1" applyBorder="1" applyAlignment="1">
      <alignment horizontal="right" vertical="center"/>
    </xf>
    <xf numFmtId="0" fontId="18" fillId="8" borderId="1" xfId="0" applyFont="1" applyFill="1" applyBorder="1" applyAlignment="1">
      <alignment horizontal="left" vertical="center" wrapText="1" indent="1"/>
    </xf>
    <xf numFmtId="165" fontId="19" fillId="8" borderId="1" xfId="0" applyNumberFormat="1" applyFont="1" applyFill="1" applyBorder="1" applyAlignment="1">
      <alignment horizontal="right" vertical="center"/>
    </xf>
    <xf numFmtId="0" fontId="20" fillId="15" borderId="1" xfId="0" applyFont="1" applyFill="1" applyBorder="1" applyAlignment="1">
      <alignment horizontal="center" vertical="center" wrapText="1"/>
    </xf>
    <xf numFmtId="165" fontId="21" fillId="16" borderId="1" xfId="0" applyNumberFormat="1" applyFont="1" applyFill="1" applyBorder="1" applyAlignment="1">
      <alignment horizontal="right" vertical="center"/>
    </xf>
    <xf numFmtId="165" fontId="21" fillId="17" borderId="1" xfId="0" applyNumberFormat="1" applyFont="1" applyFill="1" applyBorder="1" applyAlignment="1">
      <alignment horizontal="right" vertical="center"/>
    </xf>
    <xf numFmtId="49" fontId="21" fillId="16" borderId="1" xfId="0" applyNumberFormat="1" applyFont="1" applyFill="1" applyBorder="1" applyAlignment="1">
      <alignment horizontal="center" vertical="center"/>
    </xf>
    <xf numFmtId="0" fontId="21" fillId="16" borderId="1" xfId="0" applyFont="1" applyFill="1" applyBorder="1" applyAlignment="1">
      <alignment horizontal="center" vertical="center"/>
    </xf>
    <xf numFmtId="0" fontId="22" fillId="16" borderId="1" xfId="0" applyFont="1" applyFill="1" applyBorder="1" applyAlignment="1">
      <alignment horizontal="left" vertical="center" indent="1"/>
    </xf>
    <xf numFmtId="0" fontId="23" fillId="9" borderId="1" xfId="0" applyFont="1" applyFill="1" applyBorder="1" applyAlignment="1">
      <alignment horizontal="left" vertical="center" wrapText="1" indent="1"/>
    </xf>
    <xf numFmtId="165" fontId="19" fillId="9" borderId="1" xfId="0" applyNumberFormat="1" applyFont="1" applyFill="1" applyBorder="1" applyAlignment="1">
      <alignment horizontal="right" vertical="center"/>
    </xf>
    <xf numFmtId="165" fontId="21" fillId="18" borderId="1" xfId="0" applyNumberFormat="1" applyFont="1" applyFill="1" applyBorder="1" applyAlignment="1">
      <alignment horizontal="right" vertical="center"/>
    </xf>
    <xf numFmtId="165" fontId="21" fillId="19" borderId="1" xfId="0" applyNumberFormat="1" applyFont="1" applyFill="1" applyBorder="1" applyAlignment="1">
      <alignment horizontal="right" vertical="center"/>
    </xf>
    <xf numFmtId="165" fontId="21" fillId="20" borderId="1" xfId="0" applyNumberFormat="1" applyFont="1" applyFill="1" applyBorder="1" applyAlignment="1">
      <alignment horizontal="right" vertical="center"/>
    </xf>
    <xf numFmtId="165" fontId="21" fillId="21" borderId="1" xfId="0" applyNumberFormat="1" applyFont="1" applyFill="1" applyBorder="1" applyAlignment="1">
      <alignment horizontal="right" vertical="center"/>
    </xf>
    <xf numFmtId="165" fontId="21" fillId="22" borderId="1" xfId="0" applyNumberFormat="1" applyFont="1" applyFill="1" applyBorder="1" applyAlignment="1">
      <alignment horizontal="right" vertical="center"/>
    </xf>
    <xf numFmtId="49" fontId="21" fillId="23" borderId="1" xfId="0" applyNumberFormat="1" applyFont="1" applyFill="1" applyBorder="1" applyAlignment="1">
      <alignment horizontal="center" vertical="center"/>
    </xf>
    <xf numFmtId="0" fontId="21" fillId="23" borderId="1" xfId="0" applyFont="1" applyFill="1" applyBorder="1" applyAlignment="1">
      <alignment horizontal="center" vertical="center"/>
    </xf>
    <xf numFmtId="0" fontId="22" fillId="23" borderId="1" xfId="0" applyFont="1" applyFill="1" applyBorder="1" applyAlignment="1">
      <alignment horizontal="left" vertical="center" indent="1"/>
    </xf>
    <xf numFmtId="0" fontId="18" fillId="3" borderId="1" xfId="0" applyFont="1" applyFill="1" applyBorder="1" applyAlignment="1">
      <alignment horizontal="left" vertical="center" wrapText="1" indent="1"/>
    </xf>
    <xf numFmtId="165" fontId="19" fillId="3" borderId="1" xfId="0" applyNumberFormat="1" applyFont="1" applyFill="1" applyBorder="1" applyAlignment="1">
      <alignment horizontal="right" vertical="center"/>
    </xf>
    <xf numFmtId="0" fontId="18" fillId="11" borderId="1" xfId="0" applyFont="1" applyFill="1" applyBorder="1" applyAlignment="1">
      <alignment horizontal="left" vertical="center" wrapText="1" indent="1"/>
    </xf>
    <xf numFmtId="165" fontId="19" fillId="11" borderId="1" xfId="0" applyNumberFormat="1" applyFont="1" applyFill="1" applyBorder="1" applyAlignment="1">
      <alignment horizontal="right" vertical="center"/>
    </xf>
    <xf numFmtId="0" fontId="23" fillId="8" borderId="1" xfId="0" applyFont="1" applyFill="1" applyBorder="1" applyAlignment="1">
      <alignment horizontal="left" vertical="center" wrapText="1" indent="1"/>
    </xf>
    <xf numFmtId="0" fontId="23" fillId="10" borderId="1" xfId="0" applyFont="1" applyFill="1" applyBorder="1" applyAlignment="1">
      <alignment horizontal="left" vertical="center" wrapText="1" indent="1"/>
    </xf>
    <xf numFmtId="165" fontId="19" fillId="10" borderId="1" xfId="0" applyNumberFormat="1" applyFont="1" applyFill="1" applyBorder="1" applyAlignment="1">
      <alignment horizontal="right" vertical="center"/>
    </xf>
    <xf numFmtId="0" fontId="23" fillId="11" borderId="1" xfId="0" applyFont="1" applyFill="1" applyBorder="1" applyAlignment="1">
      <alignment horizontal="left" vertical="center" wrapText="1" indent="1"/>
    </xf>
    <xf numFmtId="0" fontId="19" fillId="24" borderId="1" xfId="0" applyFont="1" applyFill="1" applyBorder="1" applyAlignment="1">
      <alignment horizontal="left" vertical="center" wrapText="1" indent="1"/>
    </xf>
    <xf numFmtId="165" fontId="24" fillId="24" borderId="1" xfId="0" applyNumberFormat="1" applyFont="1" applyFill="1" applyBorder="1" applyAlignment="1">
      <alignment horizontal="right" vertical="center"/>
    </xf>
    <xf numFmtId="0" fontId="23" fillId="15" borderId="1" xfId="0" applyFont="1" applyFill="1" applyBorder="1" applyAlignment="1">
      <alignment horizontal="left" vertical="center" wrapText="1" indent="1"/>
    </xf>
    <xf numFmtId="165" fontId="19" fillId="15" borderId="1" xfId="0" applyNumberFormat="1" applyFont="1" applyFill="1" applyBorder="1" applyAlignment="1">
      <alignment horizontal="right" vertical="center"/>
    </xf>
    <xf numFmtId="0" fontId="23" fillId="23" borderId="1" xfId="0" applyFont="1" applyFill="1" applyBorder="1" applyAlignment="1">
      <alignment horizontal="left" vertical="center" wrapText="1" indent="1"/>
    </xf>
    <xf numFmtId="1" fontId="19" fillId="23" borderId="1" xfId="0" applyNumberFormat="1" applyFont="1" applyFill="1" applyBorder="1" applyAlignment="1">
      <alignment horizontal="right" vertical="center"/>
    </xf>
    <xf numFmtId="0" fontId="18" fillId="26" borderId="1" xfId="0" applyFont="1" applyFill="1" applyBorder="1" applyAlignment="1">
      <alignment horizontal="left" vertical="center" wrapText="1" indent="1"/>
    </xf>
    <xf numFmtId="1" fontId="19" fillId="26" borderId="1" xfId="0" applyNumberFormat="1" applyFont="1" applyFill="1" applyBorder="1" applyAlignment="1">
      <alignment horizontal="right" vertical="center"/>
    </xf>
    <xf numFmtId="0" fontId="27" fillId="0" borderId="1" xfId="0" applyFont="1" applyBorder="1" applyAlignment="1">
      <alignment horizontal="left" vertical="center" wrapText="1" indent="1"/>
    </xf>
    <xf numFmtId="0" fontId="2" fillId="7" borderId="1" xfId="0" applyFont="1" applyFill="1" applyBorder="1" applyAlignment="1">
      <alignment horizontal="center" vertical="center" wrapText="1"/>
    </xf>
    <xf numFmtId="0" fontId="25" fillId="0" borderId="0" xfId="0" applyFont="1" applyBorder="1" applyAlignment="1">
      <alignment vertical="top" wrapText="1" indent="1"/>
    </xf>
    <xf numFmtId="0" fontId="2" fillId="14" borderId="1" xfId="0" applyFont="1" applyFill="1" applyBorder="1" applyAlignment="1">
      <alignment horizontal="center" vertical="center" wrapText="1"/>
    </xf>
    <xf numFmtId="0" fontId="11" fillId="13" borderId="2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5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indent="1"/>
    </xf>
    <xf numFmtId="0" fontId="4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 vertical="center" shrinkToFit="1"/>
    </xf>
    <xf numFmtId="165" fontId="3" fillId="3" borderId="1" xfId="0" applyNumberFormat="1" applyFont="1" applyFill="1" applyBorder="1" applyAlignment="1">
      <alignment horizontal="center" vertical="center" shrinkToFit="1"/>
    </xf>
    <xf numFmtId="0" fontId="26" fillId="2" borderId="0" xfId="0" applyFont="1" applyFill="1" applyBorder="1" applyAlignment="1">
      <alignment horizontal="center" vertical="center" wrapText="1"/>
    </xf>
    <xf numFmtId="0" fontId="2" fillId="25" borderId="0" xfId="0" applyFont="1" applyFill="1" applyBorder="1" applyAlignment="1">
      <alignment horizontal="center" vertical="center" wrapText="1"/>
    </xf>
    <xf numFmtId="0" fontId="27" fillId="17" borderId="0" xfId="0" applyFont="1" applyFill="1" applyBorder="1" applyAlignment="1">
      <alignment horizontal="left" vertical="center" wrapText="1" indent="1"/>
    </xf>
    <xf numFmtId="0" fontId="2" fillId="4" borderId="0" xfId="0" applyFont="1" applyFill="1" applyBorder="1" applyAlignment="1">
      <alignment horizontal="center" vertical="center" wrapText="1"/>
    </xf>
    <xf numFmtId="0" fontId="27" fillId="0" borderId="0" xfId="0" applyFont="1" applyBorder="1" applyAlignment="1">
      <alignment horizontal="left" vertical="center" wrapText="1" indent="1"/>
    </xf>
  </cellXfs>
  <cellStyles count="1">
    <cellStyle name="Normal" xfId="0" builtinId="0"/>
  </cellStyles>
  <dxfs count="8">
    <dxf>
      <font>
        <b/>
        <color rgb="FF1F4E78"/>
        <name val="Arial"/>
        <charset val="1"/>
      </font>
      <fill>
        <patternFill>
          <bgColor rgb="FFBDD7EE"/>
        </patternFill>
      </fill>
    </dxf>
    <dxf>
      <font>
        <b/>
        <color rgb="FF7F6000"/>
        <name val="Arial"/>
        <charset val="1"/>
      </font>
      <fill>
        <patternFill>
          <bgColor rgb="FFFFE699"/>
        </patternFill>
      </fill>
    </dxf>
    <dxf>
      <font>
        <b/>
        <color rgb="FF9C0006"/>
        <name val="Arial"/>
        <charset val="1"/>
      </font>
      <fill>
        <patternFill>
          <bgColor rgb="FFF4B6B6"/>
        </patternFill>
      </fill>
    </dxf>
    <dxf>
      <font>
        <b/>
        <color rgb="FFC00000"/>
        <name val="Arial"/>
        <charset val="1"/>
      </font>
      <fill>
        <patternFill>
          <bgColor rgb="FFF8CBAD"/>
        </patternFill>
      </fill>
    </dxf>
    <dxf>
      <font>
        <b/>
        <color rgb="FFC00000"/>
        <name val="Arial"/>
        <charset val="1"/>
      </font>
      <fill>
        <patternFill>
          <bgColor rgb="FFF8CBAD"/>
        </patternFill>
      </fill>
    </dxf>
    <dxf>
      <fill>
        <patternFill>
          <bgColor rgb="FFF8CBAD"/>
        </patternFill>
      </fill>
    </dxf>
    <dxf>
      <font>
        <b/>
        <color rgb="FFC00000"/>
        <name val="Arial"/>
        <charset val="1"/>
      </font>
      <fill>
        <patternFill>
          <bgColor rgb="FFF8CBAD"/>
        </patternFill>
      </fill>
    </dxf>
    <dxf>
      <font>
        <strike/>
        <color rgb="FF9C9C9C"/>
        <name val="Arial"/>
        <charset val="1"/>
      </font>
      <fill>
        <patternFill>
          <bgColor rgb="FFEDEDED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1E8"/>
      <rgbColor rgb="FFFF00FF"/>
      <rgbColor rgb="FFF4F9FD"/>
      <rgbColor rgb="FF9C0006"/>
      <rgbColor rgb="FF008000"/>
      <rgbColor rgb="FF000080"/>
      <rgbColor rgb="FF7F6000"/>
      <rgbColor rgb="FF800080"/>
      <rgbColor rgb="FF1F7A8C"/>
      <rgbColor rgb="FFBFBFBF"/>
      <rgbColor rgb="FF7F7F7F"/>
      <rgbColor rgb="FFEDEDED"/>
      <rgbColor rgb="FF993366"/>
      <rgbColor rgb="FFFFF2CC"/>
      <rgbColor rgb="FFD5EEF2"/>
      <rgbColor rgb="FF660066"/>
      <rgbColor rgb="FFF6F4FA"/>
      <rgbColor rgb="FF0066CC"/>
      <rgbColor rgb="FFBDD7EE"/>
      <rgbColor rgb="FF000080"/>
      <rgbColor rgb="FFFF00FF"/>
      <rgbColor rgb="FFFFF8F3"/>
      <rgbColor rgb="FF00FFFF"/>
      <rgbColor rgb="FF800080"/>
      <rgbColor rgb="FF800000"/>
      <rgbColor rgb="FF008080"/>
      <rgbColor rgb="FF0000FF"/>
      <rgbColor rgb="FF00CCFF"/>
      <rgbColor rgb="FFDDEBF7"/>
      <rgbColor rgb="FFE2EFDA"/>
      <rgbColor rgb="FFFFE699"/>
      <rgbColor rgb="FFE8E4F0"/>
      <rgbColor rgb="FFF4B6B6"/>
      <rgbColor rgb="FFFCE4D6"/>
      <rgbColor rgb="FFF8CBAD"/>
      <rgbColor rgb="FF2E75B6"/>
      <rgbColor rgb="FFF3FAFB"/>
      <rgbColor rgb="FFF6FAF3"/>
      <rgbColor rgb="FFF2F2F2"/>
      <rgbColor rgb="FFF7F7F7"/>
      <rgbColor rgb="FFC55A11"/>
      <rgbColor rgb="FF6B5B95"/>
      <rgbColor rgb="FF9C9C9C"/>
      <rgbColor rgb="FF003366"/>
      <rgbColor rgb="FF548235"/>
      <rgbColor rgb="FF003300"/>
      <rgbColor rgb="FF333300"/>
      <rgbColor rgb="FF993300"/>
      <rgbColor rgb="FF993366"/>
      <rgbColor rgb="FF1F4E78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  <pageSetUpPr fitToPage="1"/>
  </sheetPr>
  <dimension ref="A1:N157"/>
  <sheetViews>
    <sheetView showGridLines="0" tabSelected="1" zoomScale="90" zoomScaleNormal="90" workbookViewId="0">
      <pane ySplit="7" topLeftCell="A8" activePane="bottomLeft" state="frozen"/>
      <selection pane="bottomLeft" activeCell="C14" sqref="C14"/>
    </sheetView>
  </sheetViews>
  <sheetFormatPr baseColWidth="10" defaultColWidth="8.7109375" defaultRowHeight="15" x14ac:dyDescent="0.25"/>
  <cols>
    <col min="1" max="1" width="8" customWidth="1"/>
    <col min="2" max="2" width="15" customWidth="1"/>
    <col min="3" max="3" width="10" customWidth="1"/>
    <col min="4" max="4" width="15" customWidth="1"/>
    <col min="5" max="5" width="10" customWidth="1"/>
    <col min="6" max="6" width="15" customWidth="1"/>
    <col min="7" max="7" width="10" customWidth="1"/>
    <col min="8" max="8" width="11" customWidth="1"/>
    <col min="9" max="9" width="17" customWidth="1"/>
    <col min="10" max="10" width="15" customWidth="1"/>
    <col min="11" max="11" width="36" customWidth="1"/>
    <col min="12" max="12" width="3" customWidth="1"/>
    <col min="13" max="13" width="44" customWidth="1"/>
    <col min="14" max="14" width="16" customWidth="1"/>
  </cols>
  <sheetData>
    <row r="1" spans="1:14" ht="37.5" customHeight="1" x14ac:dyDescent="0.25">
      <c r="A1" s="67" t="s">
        <v>52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</row>
    <row r="2" spans="1:14" ht="6" customHeight="1" x14ac:dyDescent="0.25"/>
    <row r="3" spans="1:14" ht="27.75" customHeight="1" x14ac:dyDescent="0.25">
      <c r="A3" s="59" t="s">
        <v>0</v>
      </c>
      <c r="B3" s="59"/>
      <c r="C3" s="68">
        <v>46294</v>
      </c>
      <c r="D3" s="68"/>
      <c r="E3" s="68"/>
      <c r="F3" s="59" t="s">
        <v>1</v>
      </c>
      <c r="G3" s="59"/>
      <c r="H3" s="69">
        <v>50000</v>
      </c>
      <c r="I3" s="69"/>
      <c r="M3" s="1" t="s">
        <v>2</v>
      </c>
      <c r="N3" s="2">
        <v>10000</v>
      </c>
    </row>
    <row r="4" spans="1:14" ht="27.75" customHeight="1" x14ac:dyDescent="0.25">
      <c r="A4" s="59" t="s">
        <v>3</v>
      </c>
      <c r="B4" s="59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</row>
    <row r="5" spans="1:14" ht="21.75" customHeight="1" x14ac:dyDescent="0.25">
      <c r="A5" s="3"/>
      <c r="B5" s="62" t="s">
        <v>4</v>
      </c>
      <c r="C5" s="62"/>
      <c r="D5" s="63" t="s">
        <v>5</v>
      </c>
      <c r="E5" s="63"/>
      <c r="F5" s="64" t="s">
        <v>6</v>
      </c>
      <c r="G5" s="64"/>
      <c r="H5" s="4" t="s">
        <v>7</v>
      </c>
      <c r="I5" s="65" t="s">
        <v>8</v>
      </c>
      <c r="J5" s="65"/>
      <c r="K5" s="65"/>
      <c r="M5" s="66" t="str">
        <f>IF(LEN(TRIM($C$4))=0,"RESUMEN","RESUMEN · Cajero: "&amp;$C$4)</f>
        <v>RESUMEN</v>
      </c>
      <c r="N5" s="66"/>
    </row>
    <row r="6" spans="1:14" ht="21.75" customHeight="1" x14ac:dyDescent="0.25">
      <c r="A6" s="5" t="s">
        <v>9</v>
      </c>
      <c r="B6" s="6" t="s">
        <v>10</v>
      </c>
      <c r="C6" s="7" t="s">
        <v>11</v>
      </c>
      <c r="D6" s="8" t="s">
        <v>10</v>
      </c>
      <c r="E6" s="7" t="s">
        <v>11</v>
      </c>
      <c r="F6" s="9" t="s">
        <v>10</v>
      </c>
      <c r="G6" s="7" t="s">
        <v>11</v>
      </c>
      <c r="H6" s="10" t="s">
        <v>12</v>
      </c>
      <c r="I6" s="11" t="s">
        <v>13</v>
      </c>
      <c r="J6" s="11" t="s">
        <v>14</v>
      </c>
      <c r="K6" s="11" t="s">
        <v>15</v>
      </c>
      <c r="M6" s="56" t="s">
        <v>16</v>
      </c>
      <c r="N6" s="56"/>
    </row>
    <row r="7" spans="1:14" ht="25.5" customHeight="1" x14ac:dyDescent="0.25">
      <c r="A7" s="13" t="s">
        <v>17</v>
      </c>
      <c r="B7" s="14">
        <f t="shared" ref="B7:H7" si="0">SUMIFS(B8:B157,$J8:$J157,"&lt;&gt;No recibido")</f>
        <v>0</v>
      </c>
      <c r="C7" s="15">
        <f t="shared" si="0"/>
        <v>0</v>
      </c>
      <c r="D7" s="16">
        <f t="shared" si="0"/>
        <v>0</v>
      </c>
      <c r="E7" s="15">
        <f t="shared" si="0"/>
        <v>0</v>
      </c>
      <c r="F7" s="17">
        <f t="shared" si="0"/>
        <v>0</v>
      </c>
      <c r="G7" s="15">
        <f t="shared" si="0"/>
        <v>0</v>
      </c>
      <c r="H7" s="18">
        <f t="shared" si="0"/>
        <v>0</v>
      </c>
      <c r="I7" s="57" t="str">
        <f>"Con teléfono: "&amp;COUNTA(I8:I157)&amp;"   ·   Con observación: "&amp;COUNTA(J8:J157)</f>
        <v>Con teléfono: 0   ·   Con observación: 0</v>
      </c>
      <c r="J7" s="57"/>
      <c r="K7" s="57"/>
      <c r="M7" s="19" t="s">
        <v>18</v>
      </c>
      <c r="N7" s="20">
        <f>B7+D7</f>
        <v>0</v>
      </c>
    </row>
    <row r="8" spans="1:14" ht="21.75" customHeight="1" x14ac:dyDescent="0.25">
      <c r="A8" s="21">
        <v>1</v>
      </c>
      <c r="B8" s="22"/>
      <c r="C8" s="23"/>
      <c r="D8" s="22"/>
      <c r="E8" s="23"/>
      <c r="F8" s="22"/>
      <c r="G8" s="23"/>
      <c r="H8" s="22"/>
      <c r="I8" s="24"/>
      <c r="J8" s="25"/>
      <c r="K8" s="26"/>
      <c r="M8" s="27" t="s">
        <v>19</v>
      </c>
      <c r="N8" s="28">
        <f>C7+E7</f>
        <v>0</v>
      </c>
    </row>
    <row r="9" spans="1:14" ht="21.75" customHeight="1" x14ac:dyDescent="0.25">
      <c r="A9" s="21">
        <v>2</v>
      </c>
      <c r="B9" s="29"/>
      <c r="C9" s="30"/>
      <c r="D9" s="31"/>
      <c r="E9" s="30"/>
      <c r="F9" s="32"/>
      <c r="G9" s="30"/>
      <c r="H9" s="33"/>
      <c r="I9" s="34"/>
      <c r="J9" s="35"/>
      <c r="K9" s="36"/>
      <c r="M9" s="37" t="s">
        <v>20</v>
      </c>
      <c r="N9" s="38">
        <f>N7-N8</f>
        <v>0</v>
      </c>
    </row>
    <row r="10" spans="1:14" ht="21.75" customHeight="1" x14ac:dyDescent="0.25">
      <c r="A10" s="21">
        <v>3</v>
      </c>
      <c r="B10" s="22"/>
      <c r="C10" s="23"/>
      <c r="D10" s="22"/>
      <c r="E10" s="23"/>
      <c r="F10" s="22"/>
      <c r="G10" s="23"/>
      <c r="H10" s="22"/>
      <c r="I10" s="24"/>
      <c r="J10" s="25"/>
      <c r="K10" s="26"/>
    </row>
    <row r="11" spans="1:14" ht="21.75" customHeight="1" x14ac:dyDescent="0.25">
      <c r="A11" s="21">
        <v>4</v>
      </c>
      <c r="B11" s="29"/>
      <c r="C11" s="30"/>
      <c r="D11" s="31"/>
      <c r="E11" s="30"/>
      <c r="F11" s="32"/>
      <c r="G11" s="30"/>
      <c r="H11" s="33"/>
      <c r="I11" s="34"/>
      <c r="J11" s="35"/>
      <c r="K11" s="36"/>
      <c r="M11" s="58" t="s">
        <v>6</v>
      </c>
      <c r="N11" s="58"/>
    </row>
    <row r="12" spans="1:14" ht="21.75" customHeight="1" x14ac:dyDescent="0.25">
      <c r="A12" s="21">
        <v>5</v>
      </c>
      <c r="B12" s="22"/>
      <c r="C12" s="23"/>
      <c r="D12" s="22"/>
      <c r="E12" s="23"/>
      <c r="F12" s="22"/>
      <c r="G12" s="23"/>
      <c r="H12" s="22"/>
      <c r="I12" s="24"/>
      <c r="J12" s="25"/>
      <c r="K12" s="26"/>
      <c r="M12" s="39" t="s">
        <v>21</v>
      </c>
      <c r="N12" s="40">
        <f>F7</f>
        <v>0</v>
      </c>
    </row>
    <row r="13" spans="1:14" ht="21.75" customHeight="1" x14ac:dyDescent="0.25">
      <c r="A13" s="21">
        <v>6</v>
      </c>
      <c r="B13" s="29"/>
      <c r="C13" s="30"/>
      <c r="D13" s="31"/>
      <c r="E13" s="30"/>
      <c r="F13" s="32"/>
      <c r="G13" s="30"/>
      <c r="H13" s="33"/>
      <c r="I13" s="34"/>
      <c r="J13" s="35"/>
      <c r="K13" s="36"/>
      <c r="M13" s="27" t="s">
        <v>19</v>
      </c>
      <c r="N13" s="28">
        <f>G7</f>
        <v>0</v>
      </c>
    </row>
    <row r="14" spans="1:14" ht="21.75" customHeight="1" x14ac:dyDescent="0.25">
      <c r="A14" s="21">
        <v>7</v>
      </c>
      <c r="B14" s="22"/>
      <c r="C14" s="23"/>
      <c r="D14" s="22"/>
      <c r="E14" s="23"/>
      <c r="F14" s="22"/>
      <c r="G14" s="23"/>
      <c r="H14" s="22"/>
      <c r="I14" s="24"/>
      <c r="J14" s="25"/>
      <c r="K14" s="26"/>
      <c r="M14" s="37" t="s">
        <v>22</v>
      </c>
      <c r="N14" s="38">
        <f>N12-N13</f>
        <v>0</v>
      </c>
    </row>
    <row r="15" spans="1:14" ht="21.75" customHeight="1" x14ac:dyDescent="0.25">
      <c r="A15" s="21">
        <v>8</v>
      </c>
      <c r="B15" s="29"/>
      <c r="C15" s="30"/>
      <c r="D15" s="31"/>
      <c r="E15" s="30"/>
      <c r="F15" s="32"/>
      <c r="G15" s="30"/>
      <c r="H15" s="33"/>
      <c r="I15" s="34"/>
      <c r="J15" s="35"/>
      <c r="K15" s="36"/>
    </row>
    <row r="16" spans="1:14" ht="21.75" customHeight="1" x14ac:dyDescent="0.25">
      <c r="A16" s="21">
        <v>9</v>
      </c>
      <c r="B16" s="22"/>
      <c r="C16" s="23"/>
      <c r="D16" s="22"/>
      <c r="E16" s="23"/>
      <c r="F16" s="22"/>
      <c r="G16" s="23"/>
      <c r="H16" s="22"/>
      <c r="I16" s="24"/>
      <c r="J16" s="25"/>
      <c r="K16" s="26"/>
      <c r="M16" s="59" t="s">
        <v>23</v>
      </c>
      <c r="N16" s="59"/>
    </row>
    <row r="17" spans="1:14" ht="21.75" customHeight="1" x14ac:dyDescent="0.25">
      <c r="A17" s="21">
        <v>10</v>
      </c>
      <c r="B17" s="29"/>
      <c r="C17" s="30"/>
      <c r="D17" s="31"/>
      <c r="E17" s="30"/>
      <c r="F17" s="32"/>
      <c r="G17" s="30"/>
      <c r="H17" s="33"/>
      <c r="I17" s="34"/>
      <c r="J17" s="35"/>
      <c r="K17" s="36"/>
      <c r="M17" s="41" t="s">
        <v>24</v>
      </c>
      <c r="N17" s="20">
        <f>B7</f>
        <v>0</v>
      </c>
    </row>
    <row r="18" spans="1:14" ht="21.75" customHeight="1" x14ac:dyDescent="0.25">
      <c r="A18" s="21">
        <v>11</v>
      </c>
      <c r="B18" s="22"/>
      <c r="C18" s="23"/>
      <c r="D18" s="22"/>
      <c r="E18" s="23"/>
      <c r="F18" s="22"/>
      <c r="G18" s="23"/>
      <c r="H18" s="22"/>
      <c r="I18" s="24"/>
      <c r="J18" s="25"/>
      <c r="K18" s="26"/>
      <c r="M18" s="42" t="s">
        <v>25</v>
      </c>
      <c r="N18" s="43">
        <f>D7</f>
        <v>0</v>
      </c>
    </row>
    <row r="19" spans="1:14" ht="21.75" customHeight="1" x14ac:dyDescent="0.25">
      <c r="A19" s="21">
        <v>12</v>
      </c>
      <c r="B19" s="29"/>
      <c r="C19" s="30"/>
      <c r="D19" s="31"/>
      <c r="E19" s="30"/>
      <c r="F19" s="32"/>
      <c r="G19" s="30"/>
      <c r="H19" s="33"/>
      <c r="I19" s="34"/>
      <c r="J19" s="35"/>
      <c r="K19" s="36"/>
      <c r="M19" s="44" t="s">
        <v>26</v>
      </c>
      <c r="N19" s="40">
        <f>F7</f>
        <v>0</v>
      </c>
    </row>
    <row r="20" spans="1:14" ht="21.75" customHeight="1" x14ac:dyDescent="0.25">
      <c r="A20" s="21">
        <v>13</v>
      </c>
      <c r="B20" s="22"/>
      <c r="C20" s="23"/>
      <c r="D20" s="22"/>
      <c r="E20" s="23"/>
      <c r="F20" s="22"/>
      <c r="G20" s="23"/>
      <c r="H20" s="22"/>
      <c r="I20" s="24"/>
      <c r="J20" s="25"/>
      <c r="K20" s="26"/>
      <c r="M20" s="19" t="s">
        <v>27</v>
      </c>
      <c r="N20" s="20">
        <f>N17+N18+N19</f>
        <v>0</v>
      </c>
    </row>
    <row r="21" spans="1:14" ht="21.75" customHeight="1" x14ac:dyDescent="0.25">
      <c r="A21" s="21">
        <v>14</v>
      </c>
      <c r="B21" s="29"/>
      <c r="C21" s="30"/>
      <c r="D21" s="31"/>
      <c r="E21" s="30"/>
      <c r="F21" s="32"/>
      <c r="G21" s="30"/>
      <c r="H21" s="33"/>
      <c r="I21" s="34"/>
      <c r="J21" s="35"/>
      <c r="K21" s="36"/>
      <c r="M21" s="27" t="s">
        <v>28</v>
      </c>
      <c r="N21" s="28">
        <f>C7+E7+G7</f>
        <v>0</v>
      </c>
    </row>
    <row r="22" spans="1:14" ht="21.75" customHeight="1" x14ac:dyDescent="0.25">
      <c r="A22" s="21">
        <v>15</v>
      </c>
      <c r="B22" s="22"/>
      <c r="C22" s="23"/>
      <c r="D22" s="22"/>
      <c r="E22" s="23"/>
      <c r="F22" s="22"/>
      <c r="G22" s="23"/>
      <c r="H22" s="22"/>
      <c r="I22" s="24"/>
      <c r="J22" s="25"/>
      <c r="K22" s="26"/>
      <c r="M22" s="45" t="s">
        <v>29</v>
      </c>
      <c r="N22" s="46">
        <f>N20-N21</f>
        <v>0</v>
      </c>
    </row>
    <row r="23" spans="1:14" ht="21.75" customHeight="1" x14ac:dyDescent="0.25">
      <c r="A23" s="21">
        <v>16</v>
      </c>
      <c r="B23" s="29"/>
      <c r="C23" s="30"/>
      <c r="D23" s="31"/>
      <c r="E23" s="30"/>
      <c r="F23" s="32"/>
      <c r="G23" s="30"/>
      <c r="H23" s="33"/>
      <c r="I23" s="34"/>
      <c r="J23" s="35"/>
      <c r="K23" s="36"/>
      <c r="M23" s="47" t="s">
        <v>30</v>
      </c>
      <c r="N23" s="48">
        <f>N3</f>
        <v>10000</v>
      </c>
    </row>
    <row r="24" spans="1:14" ht="21.75" customHeight="1" x14ac:dyDescent="0.25">
      <c r="A24" s="21">
        <v>17</v>
      </c>
      <c r="B24" s="22"/>
      <c r="C24" s="23"/>
      <c r="D24" s="22"/>
      <c r="E24" s="23"/>
      <c r="F24" s="22"/>
      <c r="G24" s="23"/>
      <c r="H24" s="22"/>
      <c r="I24" s="24"/>
      <c r="J24" s="25"/>
      <c r="K24" s="26"/>
    </row>
    <row r="25" spans="1:14" ht="21.75" customHeight="1" x14ac:dyDescent="0.25">
      <c r="A25" s="21">
        <v>18</v>
      </c>
      <c r="B25" s="29"/>
      <c r="C25" s="30"/>
      <c r="D25" s="31"/>
      <c r="E25" s="30"/>
      <c r="F25" s="32"/>
      <c r="G25" s="30"/>
      <c r="H25" s="33"/>
      <c r="I25" s="34"/>
      <c r="J25" s="35"/>
      <c r="K25" s="36"/>
      <c r="M25" s="60" t="s">
        <v>31</v>
      </c>
      <c r="N25" s="60"/>
    </row>
    <row r="26" spans="1:14" ht="21.75" customHeight="1" x14ac:dyDescent="0.25">
      <c r="A26" s="21">
        <v>19</v>
      </c>
      <c r="B26" s="22"/>
      <c r="C26" s="23"/>
      <c r="D26" s="22"/>
      <c r="E26" s="23"/>
      <c r="F26" s="22"/>
      <c r="G26" s="23"/>
      <c r="H26" s="22"/>
      <c r="I26" s="24"/>
      <c r="J26" s="25"/>
      <c r="K26" s="26"/>
      <c r="M26" s="47" t="s">
        <v>32</v>
      </c>
      <c r="N26" s="48">
        <f>H3</f>
        <v>50000</v>
      </c>
    </row>
    <row r="27" spans="1:14" ht="21.75" customHeight="1" x14ac:dyDescent="0.25">
      <c r="A27" s="21">
        <v>20</v>
      </c>
      <c r="B27" s="29"/>
      <c r="C27" s="30"/>
      <c r="D27" s="31"/>
      <c r="E27" s="30"/>
      <c r="F27" s="32"/>
      <c r="G27" s="30"/>
      <c r="H27" s="33"/>
      <c r="I27" s="34"/>
      <c r="J27" s="35"/>
      <c r="K27" s="36"/>
      <c r="M27" s="47" t="s">
        <v>33</v>
      </c>
      <c r="N27" s="48">
        <f>H7</f>
        <v>0</v>
      </c>
    </row>
    <row r="28" spans="1:14" ht="21.75" customHeight="1" x14ac:dyDescent="0.25">
      <c r="A28" s="21">
        <v>21</v>
      </c>
      <c r="B28" s="22"/>
      <c r="C28" s="23"/>
      <c r="D28" s="22"/>
      <c r="E28" s="23"/>
      <c r="F28" s="22"/>
      <c r="G28" s="23"/>
      <c r="H28" s="22"/>
      <c r="I28" s="24"/>
      <c r="J28" s="25"/>
      <c r="K28" s="26"/>
    </row>
    <row r="29" spans="1:14" ht="21.75" customHeight="1" x14ac:dyDescent="0.25">
      <c r="A29" s="21">
        <v>22</v>
      </c>
      <c r="B29" s="29"/>
      <c r="C29" s="30"/>
      <c r="D29" s="31"/>
      <c r="E29" s="30"/>
      <c r="F29" s="32"/>
      <c r="G29" s="30"/>
      <c r="H29" s="33"/>
      <c r="I29" s="34"/>
      <c r="J29" s="35"/>
      <c r="K29" s="36"/>
      <c r="M29" s="54" t="s">
        <v>34</v>
      </c>
      <c r="N29" s="54"/>
    </row>
    <row r="30" spans="1:14" ht="21.75" customHeight="1" x14ac:dyDescent="0.25">
      <c r="A30" s="21">
        <v>23</v>
      </c>
      <c r="B30" s="22"/>
      <c r="C30" s="23"/>
      <c r="D30" s="22"/>
      <c r="E30" s="23"/>
      <c r="F30" s="22"/>
      <c r="G30" s="23"/>
      <c r="H30" s="22"/>
      <c r="I30" s="24"/>
      <c r="J30" s="25"/>
      <c r="K30" s="26"/>
      <c r="M30" s="49" t="s">
        <v>35</v>
      </c>
      <c r="N30" s="50">
        <f>COUNTIF(J8:J157,"Con cambio")</f>
        <v>0</v>
      </c>
    </row>
    <row r="31" spans="1:14" ht="21.75" customHeight="1" x14ac:dyDescent="0.25">
      <c r="A31" s="21">
        <v>24</v>
      </c>
      <c r="B31" s="29"/>
      <c r="C31" s="30"/>
      <c r="D31" s="31"/>
      <c r="E31" s="30"/>
      <c r="F31" s="32"/>
      <c r="G31" s="30"/>
      <c r="H31" s="33"/>
      <c r="I31" s="34"/>
      <c r="J31" s="35"/>
      <c r="K31" s="36"/>
      <c r="M31" s="49" t="s">
        <v>36</v>
      </c>
      <c r="N31" s="50">
        <f>COUNTIF(J8:J157,"Error corregido")</f>
        <v>0</v>
      </c>
    </row>
    <row r="32" spans="1:14" ht="21.75" customHeight="1" x14ac:dyDescent="0.25">
      <c r="A32" s="21">
        <v>25</v>
      </c>
      <c r="B32" s="22"/>
      <c r="C32" s="23"/>
      <c r="D32" s="22"/>
      <c r="E32" s="23"/>
      <c r="F32" s="22"/>
      <c r="G32" s="23"/>
      <c r="H32" s="22"/>
      <c r="I32" s="24"/>
      <c r="J32" s="25"/>
      <c r="K32" s="26"/>
      <c r="M32" s="51" t="s">
        <v>37</v>
      </c>
      <c r="N32" s="52">
        <f>COUNTIF(J8:J157,"No recibido")</f>
        <v>0</v>
      </c>
    </row>
    <row r="33" spans="1:14" ht="21.75" customHeight="1" x14ac:dyDescent="0.25">
      <c r="A33" s="21">
        <v>26</v>
      </c>
      <c r="B33" s="29"/>
      <c r="C33" s="30"/>
      <c r="D33" s="31"/>
      <c r="E33" s="30"/>
      <c r="F33" s="32"/>
      <c r="G33" s="30"/>
      <c r="H33" s="33"/>
      <c r="I33" s="34"/>
      <c r="J33" s="35"/>
      <c r="K33" s="36"/>
    </row>
    <row r="34" spans="1:14" ht="21.75" customHeight="1" x14ac:dyDescent="0.25">
      <c r="A34" s="21">
        <v>27</v>
      </c>
      <c r="B34" s="22"/>
      <c r="C34" s="23"/>
      <c r="D34" s="22"/>
      <c r="E34" s="23"/>
      <c r="F34" s="22"/>
      <c r="G34" s="23"/>
      <c r="H34" s="22"/>
      <c r="I34" s="24"/>
      <c r="J34" s="25"/>
      <c r="K34" s="26"/>
      <c r="M34" s="55" t="s">
        <v>38</v>
      </c>
      <c r="N34" s="55"/>
    </row>
    <row r="35" spans="1:14" ht="21.75" customHeight="1" x14ac:dyDescent="0.25">
      <c r="A35" s="21">
        <v>28</v>
      </c>
      <c r="B35" s="29"/>
      <c r="C35" s="30"/>
      <c r="D35" s="31"/>
      <c r="E35" s="30"/>
      <c r="F35" s="32"/>
      <c r="G35" s="30"/>
      <c r="H35" s="33"/>
      <c r="I35" s="34"/>
      <c r="J35" s="35"/>
      <c r="K35" s="36"/>
      <c r="M35" s="55"/>
      <c r="N35" s="55"/>
    </row>
    <row r="36" spans="1:14" ht="21.75" customHeight="1" x14ac:dyDescent="0.25">
      <c r="A36" s="21">
        <v>29</v>
      </c>
      <c r="B36" s="22"/>
      <c r="C36" s="23"/>
      <c r="D36" s="22"/>
      <c r="E36" s="23"/>
      <c r="F36" s="22"/>
      <c r="G36" s="23"/>
      <c r="H36" s="22"/>
      <c r="I36" s="24"/>
      <c r="J36" s="25"/>
      <c r="K36" s="26"/>
      <c r="M36" s="55"/>
      <c r="N36" s="55"/>
    </row>
    <row r="37" spans="1:14" ht="21.75" customHeight="1" x14ac:dyDescent="0.25">
      <c r="A37" s="21">
        <v>30</v>
      </c>
      <c r="B37" s="29"/>
      <c r="C37" s="30"/>
      <c r="D37" s="31"/>
      <c r="E37" s="30"/>
      <c r="F37" s="32"/>
      <c r="G37" s="30"/>
      <c r="H37" s="33"/>
      <c r="I37" s="34"/>
      <c r="J37" s="35"/>
      <c r="K37" s="36"/>
      <c r="M37" s="55"/>
      <c r="N37" s="55"/>
    </row>
    <row r="38" spans="1:14" ht="21.75" customHeight="1" x14ac:dyDescent="0.25">
      <c r="A38" s="21">
        <v>31</v>
      </c>
      <c r="B38" s="22"/>
      <c r="C38" s="23"/>
      <c r="D38" s="22"/>
      <c r="E38" s="23"/>
      <c r="F38" s="22"/>
      <c r="G38" s="23"/>
      <c r="H38" s="22"/>
      <c r="I38" s="24"/>
      <c r="J38" s="25"/>
      <c r="K38" s="26"/>
      <c r="M38" s="55"/>
      <c r="N38" s="55"/>
    </row>
    <row r="39" spans="1:14" ht="21.75" customHeight="1" x14ac:dyDescent="0.25">
      <c r="A39" s="21">
        <v>32</v>
      </c>
      <c r="B39" s="29"/>
      <c r="C39" s="30"/>
      <c r="D39" s="31"/>
      <c r="E39" s="30"/>
      <c r="F39" s="32"/>
      <c r="G39" s="30"/>
      <c r="H39" s="33"/>
      <c r="I39" s="34"/>
      <c r="J39" s="35"/>
      <c r="K39" s="36"/>
      <c r="M39" s="55"/>
      <c r="N39" s="55"/>
    </row>
    <row r="40" spans="1:14" ht="21.75" customHeight="1" x14ac:dyDescent="0.25">
      <c r="A40" s="21">
        <v>33</v>
      </c>
      <c r="B40" s="22"/>
      <c r="C40" s="23"/>
      <c r="D40" s="22"/>
      <c r="E40" s="23"/>
      <c r="F40" s="22"/>
      <c r="G40" s="23"/>
      <c r="H40" s="22"/>
      <c r="I40" s="24"/>
      <c r="J40" s="25"/>
      <c r="K40" s="26"/>
      <c r="M40" s="55"/>
      <c r="N40" s="55"/>
    </row>
    <row r="41" spans="1:14" ht="21.75" customHeight="1" x14ac:dyDescent="0.25">
      <c r="A41" s="21">
        <v>34</v>
      </c>
      <c r="B41" s="29"/>
      <c r="C41" s="30"/>
      <c r="D41" s="31"/>
      <c r="E41" s="30"/>
      <c r="F41" s="32"/>
      <c r="G41" s="30"/>
      <c r="H41" s="33"/>
      <c r="I41" s="34"/>
      <c r="J41" s="35"/>
      <c r="K41" s="36"/>
    </row>
    <row r="42" spans="1:14" ht="21.75" customHeight="1" x14ac:dyDescent="0.25">
      <c r="A42" s="21">
        <v>35</v>
      </c>
      <c r="B42" s="22"/>
      <c r="C42" s="23"/>
      <c r="D42" s="22"/>
      <c r="E42" s="23"/>
      <c r="F42" s="22"/>
      <c r="G42" s="23"/>
      <c r="H42" s="22"/>
      <c r="I42" s="24"/>
      <c r="J42" s="25"/>
      <c r="K42" s="26"/>
    </row>
    <row r="43" spans="1:14" ht="21.75" customHeight="1" x14ac:dyDescent="0.25">
      <c r="A43" s="21">
        <v>36</v>
      </c>
      <c r="B43" s="29"/>
      <c r="C43" s="30"/>
      <c r="D43" s="31"/>
      <c r="E43" s="30"/>
      <c r="F43" s="32"/>
      <c r="G43" s="30"/>
      <c r="H43" s="33"/>
      <c r="I43" s="34"/>
      <c r="J43" s="35"/>
      <c r="K43" s="36"/>
    </row>
    <row r="44" spans="1:14" ht="21.75" customHeight="1" x14ac:dyDescent="0.25">
      <c r="A44" s="21">
        <v>37</v>
      </c>
      <c r="B44" s="22"/>
      <c r="C44" s="23"/>
      <c r="D44" s="22"/>
      <c r="E44" s="23"/>
      <c r="F44" s="22"/>
      <c r="G44" s="23"/>
      <c r="H44" s="22"/>
      <c r="I44" s="24"/>
      <c r="J44" s="25"/>
      <c r="K44" s="26"/>
    </row>
    <row r="45" spans="1:14" ht="21.75" customHeight="1" x14ac:dyDescent="0.25">
      <c r="A45" s="21">
        <v>38</v>
      </c>
      <c r="B45" s="29"/>
      <c r="C45" s="30"/>
      <c r="D45" s="31"/>
      <c r="E45" s="30"/>
      <c r="F45" s="32"/>
      <c r="G45" s="30"/>
      <c r="H45" s="33"/>
      <c r="I45" s="34"/>
      <c r="J45" s="35"/>
      <c r="K45" s="36"/>
    </row>
    <row r="46" spans="1:14" ht="21.75" customHeight="1" x14ac:dyDescent="0.25">
      <c r="A46" s="21">
        <v>39</v>
      </c>
      <c r="B46" s="22"/>
      <c r="C46" s="23"/>
      <c r="D46" s="22"/>
      <c r="E46" s="23"/>
      <c r="F46" s="22"/>
      <c r="G46" s="23"/>
      <c r="H46" s="22"/>
      <c r="I46" s="24"/>
      <c r="J46" s="25"/>
      <c r="K46" s="26"/>
    </row>
    <row r="47" spans="1:14" ht="21.75" customHeight="1" x14ac:dyDescent="0.25">
      <c r="A47" s="21">
        <v>40</v>
      </c>
      <c r="B47" s="29"/>
      <c r="C47" s="30"/>
      <c r="D47" s="31"/>
      <c r="E47" s="30"/>
      <c r="F47" s="32"/>
      <c r="G47" s="30"/>
      <c r="H47" s="33"/>
      <c r="I47" s="34"/>
      <c r="J47" s="35"/>
      <c r="K47" s="36"/>
    </row>
    <row r="48" spans="1:14" ht="21.75" customHeight="1" x14ac:dyDescent="0.25">
      <c r="A48" s="21">
        <v>41</v>
      </c>
      <c r="B48" s="22"/>
      <c r="C48" s="23"/>
      <c r="D48" s="22"/>
      <c r="E48" s="23"/>
      <c r="F48" s="22"/>
      <c r="G48" s="23"/>
      <c r="H48" s="22"/>
      <c r="I48" s="24"/>
      <c r="J48" s="25"/>
      <c r="K48" s="26"/>
    </row>
    <row r="49" spans="1:11" ht="21.75" customHeight="1" x14ac:dyDescent="0.25">
      <c r="A49" s="21">
        <v>42</v>
      </c>
      <c r="B49" s="29"/>
      <c r="C49" s="30"/>
      <c r="D49" s="31"/>
      <c r="E49" s="30"/>
      <c r="F49" s="32"/>
      <c r="G49" s="30"/>
      <c r="H49" s="33"/>
      <c r="I49" s="34"/>
      <c r="J49" s="35"/>
      <c r="K49" s="36"/>
    </row>
    <row r="50" spans="1:11" ht="21.75" customHeight="1" x14ac:dyDescent="0.25">
      <c r="A50" s="21">
        <v>43</v>
      </c>
      <c r="B50" s="22"/>
      <c r="C50" s="23"/>
      <c r="D50" s="22"/>
      <c r="E50" s="23"/>
      <c r="F50" s="22"/>
      <c r="G50" s="23"/>
      <c r="H50" s="22"/>
      <c r="I50" s="24"/>
      <c r="J50" s="25"/>
      <c r="K50" s="26"/>
    </row>
    <row r="51" spans="1:11" ht="21.75" customHeight="1" x14ac:dyDescent="0.25">
      <c r="A51" s="21">
        <v>44</v>
      </c>
      <c r="B51" s="29"/>
      <c r="C51" s="30"/>
      <c r="D51" s="31"/>
      <c r="E51" s="30"/>
      <c r="F51" s="32"/>
      <c r="G51" s="30"/>
      <c r="H51" s="33"/>
      <c r="I51" s="34"/>
      <c r="J51" s="35"/>
      <c r="K51" s="36"/>
    </row>
    <row r="52" spans="1:11" ht="21.75" customHeight="1" x14ac:dyDescent="0.25">
      <c r="A52" s="21">
        <v>45</v>
      </c>
      <c r="B52" s="22"/>
      <c r="C52" s="23"/>
      <c r="D52" s="22"/>
      <c r="E52" s="23"/>
      <c r="F52" s="22"/>
      <c r="G52" s="23"/>
      <c r="H52" s="22"/>
      <c r="I52" s="24"/>
      <c r="J52" s="25"/>
      <c r="K52" s="26"/>
    </row>
    <row r="53" spans="1:11" ht="21.75" customHeight="1" x14ac:dyDescent="0.25">
      <c r="A53" s="21">
        <v>46</v>
      </c>
      <c r="B53" s="29"/>
      <c r="C53" s="30"/>
      <c r="D53" s="31"/>
      <c r="E53" s="30"/>
      <c r="F53" s="32"/>
      <c r="G53" s="30"/>
      <c r="H53" s="33"/>
      <c r="I53" s="34"/>
      <c r="J53" s="35"/>
      <c r="K53" s="36"/>
    </row>
    <row r="54" spans="1:11" ht="21.75" customHeight="1" x14ac:dyDescent="0.25">
      <c r="A54" s="21">
        <v>47</v>
      </c>
      <c r="B54" s="22"/>
      <c r="C54" s="23"/>
      <c r="D54" s="22"/>
      <c r="E54" s="23"/>
      <c r="F54" s="22"/>
      <c r="G54" s="23"/>
      <c r="H54" s="22"/>
      <c r="I54" s="24"/>
      <c r="J54" s="25"/>
      <c r="K54" s="26"/>
    </row>
    <row r="55" spans="1:11" ht="21.75" customHeight="1" x14ac:dyDescent="0.25">
      <c r="A55" s="21">
        <v>48</v>
      </c>
      <c r="B55" s="29"/>
      <c r="C55" s="30"/>
      <c r="D55" s="31"/>
      <c r="E55" s="30"/>
      <c r="F55" s="32"/>
      <c r="G55" s="30"/>
      <c r="H55" s="33"/>
      <c r="I55" s="34"/>
      <c r="J55" s="35"/>
      <c r="K55" s="36"/>
    </row>
    <row r="56" spans="1:11" ht="21.75" customHeight="1" x14ac:dyDescent="0.25">
      <c r="A56" s="21">
        <v>49</v>
      </c>
      <c r="B56" s="22"/>
      <c r="C56" s="23"/>
      <c r="D56" s="22"/>
      <c r="E56" s="23"/>
      <c r="F56" s="22"/>
      <c r="G56" s="23"/>
      <c r="H56" s="22"/>
      <c r="I56" s="24"/>
      <c r="J56" s="25"/>
      <c r="K56" s="26"/>
    </row>
    <row r="57" spans="1:11" ht="21.75" customHeight="1" x14ac:dyDescent="0.25">
      <c r="A57" s="21">
        <v>50</v>
      </c>
      <c r="B57" s="29"/>
      <c r="C57" s="30"/>
      <c r="D57" s="31"/>
      <c r="E57" s="30"/>
      <c r="F57" s="32"/>
      <c r="G57" s="30"/>
      <c r="H57" s="33"/>
      <c r="I57" s="34"/>
      <c r="J57" s="35"/>
      <c r="K57" s="36"/>
    </row>
    <row r="58" spans="1:11" ht="21.75" customHeight="1" x14ac:dyDescent="0.25">
      <c r="A58" s="21">
        <v>51</v>
      </c>
      <c r="B58" s="22"/>
      <c r="C58" s="23"/>
      <c r="D58" s="22"/>
      <c r="E58" s="23"/>
      <c r="F58" s="22"/>
      <c r="G58" s="23"/>
      <c r="H58" s="22"/>
      <c r="I58" s="24"/>
      <c r="J58" s="25"/>
      <c r="K58" s="26"/>
    </row>
    <row r="59" spans="1:11" ht="21.75" customHeight="1" x14ac:dyDescent="0.25">
      <c r="A59" s="21">
        <v>52</v>
      </c>
      <c r="B59" s="29"/>
      <c r="C59" s="30"/>
      <c r="D59" s="31"/>
      <c r="E59" s="30"/>
      <c r="F59" s="32"/>
      <c r="G59" s="30"/>
      <c r="H59" s="33"/>
      <c r="I59" s="34"/>
      <c r="J59" s="35"/>
      <c r="K59" s="36"/>
    </row>
    <row r="60" spans="1:11" ht="21.75" customHeight="1" x14ac:dyDescent="0.25">
      <c r="A60" s="21">
        <v>53</v>
      </c>
      <c r="B60" s="22"/>
      <c r="C60" s="23"/>
      <c r="D60" s="22"/>
      <c r="E60" s="23"/>
      <c r="F60" s="22"/>
      <c r="G60" s="23"/>
      <c r="H60" s="22"/>
      <c r="I60" s="24"/>
      <c r="J60" s="25"/>
      <c r="K60" s="26"/>
    </row>
    <row r="61" spans="1:11" ht="21.75" customHeight="1" x14ac:dyDescent="0.25">
      <c r="A61" s="21">
        <v>54</v>
      </c>
      <c r="B61" s="29"/>
      <c r="C61" s="30"/>
      <c r="D61" s="31"/>
      <c r="E61" s="30"/>
      <c r="F61" s="32"/>
      <c r="G61" s="30"/>
      <c r="H61" s="33"/>
      <c r="I61" s="34"/>
      <c r="J61" s="35"/>
      <c r="K61" s="36"/>
    </row>
    <row r="62" spans="1:11" ht="21.75" customHeight="1" x14ac:dyDescent="0.25">
      <c r="A62" s="21">
        <v>55</v>
      </c>
      <c r="B62" s="22"/>
      <c r="C62" s="23"/>
      <c r="D62" s="22"/>
      <c r="E62" s="23"/>
      <c r="F62" s="22"/>
      <c r="G62" s="23"/>
      <c r="H62" s="22"/>
      <c r="I62" s="24"/>
      <c r="J62" s="25"/>
      <c r="K62" s="26"/>
    </row>
    <row r="63" spans="1:11" ht="21.75" customHeight="1" x14ac:dyDescent="0.25">
      <c r="A63" s="21">
        <v>56</v>
      </c>
      <c r="B63" s="29"/>
      <c r="C63" s="30"/>
      <c r="D63" s="31"/>
      <c r="E63" s="30"/>
      <c r="F63" s="32"/>
      <c r="G63" s="30"/>
      <c r="H63" s="33"/>
      <c r="I63" s="34"/>
      <c r="J63" s="35"/>
      <c r="K63" s="36"/>
    </row>
    <row r="64" spans="1:11" ht="21.75" customHeight="1" x14ac:dyDescent="0.25">
      <c r="A64" s="21">
        <v>57</v>
      </c>
      <c r="B64" s="22"/>
      <c r="C64" s="23"/>
      <c r="D64" s="22"/>
      <c r="E64" s="23"/>
      <c r="F64" s="22"/>
      <c r="G64" s="23"/>
      <c r="H64" s="22"/>
      <c r="I64" s="24"/>
      <c r="J64" s="25"/>
      <c r="K64" s="26"/>
    </row>
    <row r="65" spans="1:11" ht="21.75" customHeight="1" x14ac:dyDescent="0.25">
      <c r="A65" s="21">
        <v>58</v>
      </c>
      <c r="B65" s="29"/>
      <c r="C65" s="30"/>
      <c r="D65" s="31"/>
      <c r="E65" s="30"/>
      <c r="F65" s="32"/>
      <c r="G65" s="30"/>
      <c r="H65" s="33"/>
      <c r="I65" s="34"/>
      <c r="J65" s="35"/>
      <c r="K65" s="36"/>
    </row>
    <row r="66" spans="1:11" ht="21.75" customHeight="1" x14ac:dyDescent="0.25">
      <c r="A66" s="21">
        <v>59</v>
      </c>
      <c r="B66" s="22"/>
      <c r="C66" s="23"/>
      <c r="D66" s="22"/>
      <c r="E66" s="23"/>
      <c r="F66" s="22"/>
      <c r="G66" s="23"/>
      <c r="H66" s="22"/>
      <c r="I66" s="24"/>
      <c r="J66" s="25"/>
      <c r="K66" s="26"/>
    </row>
    <row r="67" spans="1:11" ht="21.75" customHeight="1" x14ac:dyDescent="0.25">
      <c r="A67" s="21">
        <v>60</v>
      </c>
      <c r="B67" s="29"/>
      <c r="C67" s="30"/>
      <c r="D67" s="31"/>
      <c r="E67" s="30"/>
      <c r="F67" s="32"/>
      <c r="G67" s="30"/>
      <c r="H67" s="33"/>
      <c r="I67" s="34"/>
      <c r="J67" s="35"/>
      <c r="K67" s="36"/>
    </row>
    <row r="68" spans="1:11" ht="21.75" customHeight="1" x14ac:dyDescent="0.25">
      <c r="A68" s="21">
        <v>61</v>
      </c>
      <c r="B68" s="22"/>
      <c r="C68" s="23"/>
      <c r="D68" s="22"/>
      <c r="E68" s="23"/>
      <c r="F68" s="22"/>
      <c r="G68" s="23"/>
      <c r="H68" s="22"/>
      <c r="I68" s="24"/>
      <c r="J68" s="25"/>
      <c r="K68" s="26"/>
    </row>
    <row r="69" spans="1:11" ht="21.75" customHeight="1" x14ac:dyDescent="0.25">
      <c r="A69" s="21">
        <v>62</v>
      </c>
      <c r="B69" s="29"/>
      <c r="C69" s="30"/>
      <c r="D69" s="31"/>
      <c r="E69" s="30"/>
      <c r="F69" s="32"/>
      <c r="G69" s="30"/>
      <c r="H69" s="33"/>
      <c r="I69" s="34"/>
      <c r="J69" s="35"/>
      <c r="K69" s="36"/>
    </row>
    <row r="70" spans="1:11" ht="21.75" customHeight="1" x14ac:dyDescent="0.25">
      <c r="A70" s="21">
        <v>63</v>
      </c>
      <c r="B70" s="22"/>
      <c r="C70" s="23"/>
      <c r="D70" s="22"/>
      <c r="E70" s="23"/>
      <c r="F70" s="22"/>
      <c r="G70" s="23"/>
      <c r="H70" s="22"/>
      <c r="I70" s="24"/>
      <c r="J70" s="25"/>
      <c r="K70" s="26"/>
    </row>
    <row r="71" spans="1:11" ht="21.75" customHeight="1" x14ac:dyDescent="0.25">
      <c r="A71" s="21">
        <v>64</v>
      </c>
      <c r="B71" s="29"/>
      <c r="C71" s="30"/>
      <c r="D71" s="31"/>
      <c r="E71" s="30"/>
      <c r="F71" s="32"/>
      <c r="G71" s="30"/>
      <c r="H71" s="33"/>
      <c r="I71" s="34"/>
      <c r="J71" s="35"/>
      <c r="K71" s="36"/>
    </row>
    <row r="72" spans="1:11" ht="21.75" customHeight="1" x14ac:dyDescent="0.25">
      <c r="A72" s="21">
        <v>65</v>
      </c>
      <c r="B72" s="22"/>
      <c r="C72" s="23"/>
      <c r="D72" s="22"/>
      <c r="E72" s="23"/>
      <c r="F72" s="22"/>
      <c r="G72" s="23"/>
      <c r="H72" s="22"/>
      <c r="I72" s="24"/>
      <c r="J72" s="25"/>
      <c r="K72" s="26"/>
    </row>
    <row r="73" spans="1:11" ht="21.75" customHeight="1" x14ac:dyDescent="0.25">
      <c r="A73" s="21">
        <v>66</v>
      </c>
      <c r="B73" s="29"/>
      <c r="C73" s="30"/>
      <c r="D73" s="31"/>
      <c r="E73" s="30"/>
      <c r="F73" s="32"/>
      <c r="G73" s="30"/>
      <c r="H73" s="33"/>
      <c r="I73" s="34"/>
      <c r="J73" s="35"/>
      <c r="K73" s="36"/>
    </row>
    <row r="74" spans="1:11" ht="21.75" customHeight="1" x14ac:dyDescent="0.25">
      <c r="A74" s="21">
        <v>67</v>
      </c>
      <c r="B74" s="22"/>
      <c r="C74" s="23"/>
      <c r="D74" s="22"/>
      <c r="E74" s="23"/>
      <c r="F74" s="22"/>
      <c r="G74" s="23"/>
      <c r="H74" s="22"/>
      <c r="I74" s="24"/>
      <c r="J74" s="25"/>
      <c r="K74" s="26"/>
    </row>
    <row r="75" spans="1:11" ht="21.75" customHeight="1" x14ac:dyDescent="0.25">
      <c r="A75" s="21">
        <v>68</v>
      </c>
      <c r="B75" s="29"/>
      <c r="C75" s="30"/>
      <c r="D75" s="31"/>
      <c r="E75" s="30"/>
      <c r="F75" s="32"/>
      <c r="G75" s="30"/>
      <c r="H75" s="33"/>
      <c r="I75" s="34"/>
      <c r="J75" s="35"/>
      <c r="K75" s="36"/>
    </row>
    <row r="76" spans="1:11" ht="21.75" customHeight="1" x14ac:dyDescent="0.25">
      <c r="A76" s="21">
        <v>69</v>
      </c>
      <c r="B76" s="22"/>
      <c r="C76" s="23"/>
      <c r="D76" s="22"/>
      <c r="E76" s="23"/>
      <c r="F76" s="22"/>
      <c r="G76" s="23"/>
      <c r="H76" s="22"/>
      <c r="I76" s="24"/>
      <c r="J76" s="25"/>
      <c r="K76" s="26"/>
    </row>
    <row r="77" spans="1:11" ht="21.75" customHeight="1" x14ac:dyDescent="0.25">
      <c r="A77" s="21">
        <v>70</v>
      </c>
      <c r="B77" s="29"/>
      <c r="C77" s="30"/>
      <c r="D77" s="31"/>
      <c r="E77" s="30"/>
      <c r="F77" s="32"/>
      <c r="G77" s="30"/>
      <c r="H77" s="33"/>
      <c r="I77" s="34"/>
      <c r="J77" s="35"/>
      <c r="K77" s="36"/>
    </row>
    <row r="78" spans="1:11" ht="21.75" customHeight="1" x14ac:dyDescent="0.25">
      <c r="A78" s="21">
        <v>71</v>
      </c>
      <c r="B78" s="22"/>
      <c r="C78" s="23"/>
      <c r="D78" s="22"/>
      <c r="E78" s="23"/>
      <c r="F78" s="22"/>
      <c r="G78" s="23"/>
      <c r="H78" s="22"/>
      <c r="I78" s="24"/>
      <c r="J78" s="25"/>
      <c r="K78" s="26"/>
    </row>
    <row r="79" spans="1:11" ht="21.75" customHeight="1" x14ac:dyDescent="0.25">
      <c r="A79" s="21">
        <v>72</v>
      </c>
      <c r="B79" s="29"/>
      <c r="C79" s="30"/>
      <c r="D79" s="31"/>
      <c r="E79" s="30"/>
      <c r="F79" s="32"/>
      <c r="G79" s="30"/>
      <c r="H79" s="33"/>
      <c r="I79" s="34"/>
      <c r="J79" s="35"/>
      <c r="K79" s="36"/>
    </row>
    <row r="80" spans="1:11" ht="21.75" customHeight="1" x14ac:dyDescent="0.25">
      <c r="A80" s="21">
        <v>73</v>
      </c>
      <c r="B80" s="22"/>
      <c r="C80" s="23"/>
      <c r="D80" s="22"/>
      <c r="E80" s="23"/>
      <c r="F80" s="22"/>
      <c r="G80" s="23"/>
      <c r="H80" s="22"/>
      <c r="I80" s="24"/>
      <c r="J80" s="25"/>
      <c r="K80" s="26"/>
    </row>
    <row r="81" spans="1:11" ht="21.75" customHeight="1" x14ac:dyDescent="0.25">
      <c r="A81" s="21">
        <v>74</v>
      </c>
      <c r="B81" s="29"/>
      <c r="C81" s="30"/>
      <c r="D81" s="31"/>
      <c r="E81" s="30"/>
      <c r="F81" s="32"/>
      <c r="G81" s="30"/>
      <c r="H81" s="33"/>
      <c r="I81" s="34"/>
      <c r="J81" s="35"/>
      <c r="K81" s="36"/>
    </row>
    <row r="82" spans="1:11" ht="21.75" customHeight="1" x14ac:dyDescent="0.25">
      <c r="A82" s="21">
        <v>75</v>
      </c>
      <c r="B82" s="22"/>
      <c r="C82" s="23"/>
      <c r="D82" s="22"/>
      <c r="E82" s="23"/>
      <c r="F82" s="22"/>
      <c r="G82" s="23"/>
      <c r="H82" s="22"/>
      <c r="I82" s="24"/>
      <c r="J82" s="25"/>
      <c r="K82" s="26"/>
    </row>
    <row r="83" spans="1:11" ht="21.75" customHeight="1" x14ac:dyDescent="0.25">
      <c r="A83" s="21">
        <v>76</v>
      </c>
      <c r="B83" s="29"/>
      <c r="C83" s="30"/>
      <c r="D83" s="31"/>
      <c r="E83" s="30"/>
      <c r="F83" s="32"/>
      <c r="G83" s="30"/>
      <c r="H83" s="33"/>
      <c r="I83" s="34"/>
      <c r="J83" s="35"/>
      <c r="K83" s="36"/>
    </row>
    <row r="84" spans="1:11" ht="21.75" customHeight="1" x14ac:dyDescent="0.25">
      <c r="A84" s="21">
        <v>77</v>
      </c>
      <c r="B84" s="22"/>
      <c r="C84" s="23"/>
      <c r="D84" s="22"/>
      <c r="E84" s="23"/>
      <c r="F84" s="22"/>
      <c r="G84" s="23"/>
      <c r="H84" s="22"/>
      <c r="I84" s="24"/>
      <c r="J84" s="25"/>
      <c r="K84" s="26"/>
    </row>
    <row r="85" spans="1:11" ht="21.75" customHeight="1" x14ac:dyDescent="0.25">
      <c r="A85" s="21">
        <v>78</v>
      </c>
      <c r="B85" s="29"/>
      <c r="C85" s="30"/>
      <c r="D85" s="31"/>
      <c r="E85" s="30"/>
      <c r="F85" s="32"/>
      <c r="G85" s="30"/>
      <c r="H85" s="33"/>
      <c r="I85" s="34"/>
      <c r="J85" s="35"/>
      <c r="K85" s="36"/>
    </row>
    <row r="86" spans="1:11" ht="21.75" customHeight="1" x14ac:dyDescent="0.25">
      <c r="A86" s="21">
        <v>79</v>
      </c>
      <c r="B86" s="22"/>
      <c r="C86" s="23"/>
      <c r="D86" s="22"/>
      <c r="E86" s="23"/>
      <c r="F86" s="22"/>
      <c r="G86" s="23"/>
      <c r="H86" s="22"/>
      <c r="I86" s="24"/>
      <c r="J86" s="25"/>
      <c r="K86" s="26"/>
    </row>
    <row r="87" spans="1:11" ht="21.75" customHeight="1" x14ac:dyDescent="0.25">
      <c r="A87" s="21">
        <v>80</v>
      </c>
      <c r="B87" s="29"/>
      <c r="C87" s="30"/>
      <c r="D87" s="31"/>
      <c r="E87" s="30"/>
      <c r="F87" s="32"/>
      <c r="G87" s="30"/>
      <c r="H87" s="33"/>
      <c r="I87" s="34"/>
      <c r="J87" s="35"/>
      <c r="K87" s="36"/>
    </row>
    <row r="88" spans="1:11" ht="21.75" customHeight="1" x14ac:dyDescent="0.25">
      <c r="A88" s="21">
        <v>81</v>
      </c>
      <c r="B88" s="22"/>
      <c r="C88" s="23"/>
      <c r="D88" s="22"/>
      <c r="E88" s="23"/>
      <c r="F88" s="22"/>
      <c r="G88" s="23"/>
      <c r="H88" s="22"/>
      <c r="I88" s="24"/>
      <c r="J88" s="25"/>
      <c r="K88" s="26"/>
    </row>
    <row r="89" spans="1:11" ht="21.75" customHeight="1" x14ac:dyDescent="0.25">
      <c r="A89" s="21">
        <v>82</v>
      </c>
      <c r="B89" s="29"/>
      <c r="C89" s="30"/>
      <c r="D89" s="31"/>
      <c r="E89" s="30"/>
      <c r="F89" s="32"/>
      <c r="G89" s="30"/>
      <c r="H89" s="33"/>
      <c r="I89" s="34"/>
      <c r="J89" s="35"/>
      <c r="K89" s="36"/>
    </row>
    <row r="90" spans="1:11" ht="21.75" customHeight="1" x14ac:dyDescent="0.25">
      <c r="A90" s="21">
        <v>83</v>
      </c>
      <c r="B90" s="22"/>
      <c r="C90" s="23"/>
      <c r="D90" s="22"/>
      <c r="E90" s="23"/>
      <c r="F90" s="22"/>
      <c r="G90" s="23"/>
      <c r="H90" s="22"/>
      <c r="I90" s="24"/>
      <c r="J90" s="25"/>
      <c r="K90" s="26"/>
    </row>
    <row r="91" spans="1:11" ht="21.75" customHeight="1" x14ac:dyDescent="0.25">
      <c r="A91" s="21">
        <v>84</v>
      </c>
      <c r="B91" s="29"/>
      <c r="C91" s="30"/>
      <c r="D91" s="31"/>
      <c r="E91" s="30"/>
      <c r="F91" s="32"/>
      <c r="G91" s="30"/>
      <c r="H91" s="33"/>
      <c r="I91" s="34"/>
      <c r="J91" s="35"/>
      <c r="K91" s="36"/>
    </row>
    <row r="92" spans="1:11" ht="21.75" customHeight="1" x14ac:dyDescent="0.25">
      <c r="A92" s="21">
        <v>85</v>
      </c>
      <c r="B92" s="22"/>
      <c r="C92" s="23"/>
      <c r="D92" s="22"/>
      <c r="E92" s="23"/>
      <c r="F92" s="22"/>
      <c r="G92" s="23"/>
      <c r="H92" s="22"/>
      <c r="I92" s="24"/>
      <c r="J92" s="25"/>
      <c r="K92" s="26"/>
    </row>
    <row r="93" spans="1:11" ht="21.75" customHeight="1" x14ac:dyDescent="0.25">
      <c r="A93" s="21">
        <v>86</v>
      </c>
      <c r="B93" s="29"/>
      <c r="C93" s="30"/>
      <c r="D93" s="31"/>
      <c r="E93" s="30"/>
      <c r="F93" s="32"/>
      <c r="G93" s="30"/>
      <c r="H93" s="33"/>
      <c r="I93" s="34"/>
      <c r="J93" s="35"/>
      <c r="K93" s="36"/>
    </row>
    <row r="94" spans="1:11" ht="21.75" customHeight="1" x14ac:dyDescent="0.25">
      <c r="A94" s="21">
        <v>87</v>
      </c>
      <c r="B94" s="22"/>
      <c r="C94" s="23"/>
      <c r="D94" s="22"/>
      <c r="E94" s="23"/>
      <c r="F94" s="22"/>
      <c r="G94" s="23"/>
      <c r="H94" s="22"/>
      <c r="I94" s="24"/>
      <c r="J94" s="25"/>
      <c r="K94" s="26"/>
    </row>
    <row r="95" spans="1:11" ht="21.75" customHeight="1" x14ac:dyDescent="0.25">
      <c r="A95" s="21">
        <v>88</v>
      </c>
      <c r="B95" s="29"/>
      <c r="C95" s="30"/>
      <c r="D95" s="31"/>
      <c r="E95" s="30"/>
      <c r="F95" s="32"/>
      <c r="G95" s="30"/>
      <c r="H95" s="33"/>
      <c r="I95" s="34"/>
      <c r="J95" s="35"/>
      <c r="K95" s="36"/>
    </row>
    <row r="96" spans="1:11" ht="21.75" customHeight="1" x14ac:dyDescent="0.25">
      <c r="A96" s="21">
        <v>89</v>
      </c>
      <c r="B96" s="22"/>
      <c r="C96" s="23"/>
      <c r="D96" s="22"/>
      <c r="E96" s="23"/>
      <c r="F96" s="22"/>
      <c r="G96" s="23"/>
      <c r="H96" s="22"/>
      <c r="I96" s="24"/>
      <c r="J96" s="25"/>
      <c r="K96" s="26"/>
    </row>
    <row r="97" spans="1:11" ht="21.75" customHeight="1" x14ac:dyDescent="0.25">
      <c r="A97" s="21">
        <v>90</v>
      </c>
      <c r="B97" s="29"/>
      <c r="C97" s="30"/>
      <c r="D97" s="31"/>
      <c r="E97" s="30"/>
      <c r="F97" s="32"/>
      <c r="G97" s="30"/>
      <c r="H97" s="33"/>
      <c r="I97" s="34"/>
      <c r="J97" s="35"/>
      <c r="K97" s="36"/>
    </row>
    <row r="98" spans="1:11" ht="21.75" customHeight="1" x14ac:dyDescent="0.25">
      <c r="A98" s="21">
        <v>91</v>
      </c>
      <c r="B98" s="22"/>
      <c r="C98" s="23"/>
      <c r="D98" s="22"/>
      <c r="E98" s="23"/>
      <c r="F98" s="22"/>
      <c r="G98" s="23"/>
      <c r="H98" s="22"/>
      <c r="I98" s="24"/>
      <c r="J98" s="25"/>
      <c r="K98" s="26"/>
    </row>
    <row r="99" spans="1:11" ht="21.75" customHeight="1" x14ac:dyDescent="0.25">
      <c r="A99" s="21">
        <v>92</v>
      </c>
      <c r="B99" s="29"/>
      <c r="C99" s="30"/>
      <c r="D99" s="31"/>
      <c r="E99" s="30"/>
      <c r="F99" s="32"/>
      <c r="G99" s="30"/>
      <c r="H99" s="33"/>
      <c r="I99" s="34"/>
      <c r="J99" s="35"/>
      <c r="K99" s="36"/>
    </row>
    <row r="100" spans="1:11" ht="21.75" customHeight="1" x14ac:dyDescent="0.25">
      <c r="A100" s="21">
        <v>93</v>
      </c>
      <c r="B100" s="22"/>
      <c r="C100" s="23"/>
      <c r="D100" s="22"/>
      <c r="E100" s="23"/>
      <c r="F100" s="22"/>
      <c r="G100" s="23"/>
      <c r="H100" s="22"/>
      <c r="I100" s="24"/>
      <c r="J100" s="25"/>
      <c r="K100" s="26"/>
    </row>
    <row r="101" spans="1:11" ht="21.75" customHeight="1" x14ac:dyDescent="0.25">
      <c r="A101" s="21">
        <v>94</v>
      </c>
      <c r="B101" s="29"/>
      <c r="C101" s="30"/>
      <c r="D101" s="31"/>
      <c r="E101" s="30"/>
      <c r="F101" s="32"/>
      <c r="G101" s="30"/>
      <c r="H101" s="33"/>
      <c r="I101" s="34"/>
      <c r="J101" s="35"/>
      <c r="K101" s="36"/>
    </row>
    <row r="102" spans="1:11" ht="21.75" customHeight="1" x14ac:dyDescent="0.25">
      <c r="A102" s="21">
        <v>95</v>
      </c>
      <c r="B102" s="22"/>
      <c r="C102" s="23"/>
      <c r="D102" s="22"/>
      <c r="E102" s="23"/>
      <c r="F102" s="22"/>
      <c r="G102" s="23"/>
      <c r="H102" s="22"/>
      <c r="I102" s="24"/>
      <c r="J102" s="25"/>
      <c r="K102" s="26"/>
    </row>
    <row r="103" spans="1:11" ht="21.75" customHeight="1" x14ac:dyDescent="0.25">
      <c r="A103" s="21">
        <v>96</v>
      </c>
      <c r="B103" s="29"/>
      <c r="C103" s="30"/>
      <c r="D103" s="31"/>
      <c r="E103" s="30"/>
      <c r="F103" s="32"/>
      <c r="G103" s="30"/>
      <c r="H103" s="33"/>
      <c r="I103" s="34"/>
      <c r="J103" s="35"/>
      <c r="K103" s="36"/>
    </row>
    <row r="104" spans="1:11" ht="21.75" customHeight="1" x14ac:dyDescent="0.25">
      <c r="A104" s="21">
        <v>97</v>
      </c>
      <c r="B104" s="22"/>
      <c r="C104" s="23"/>
      <c r="D104" s="22"/>
      <c r="E104" s="23"/>
      <c r="F104" s="22"/>
      <c r="G104" s="23"/>
      <c r="H104" s="22"/>
      <c r="I104" s="24"/>
      <c r="J104" s="25"/>
      <c r="K104" s="26"/>
    </row>
    <row r="105" spans="1:11" ht="21.75" customHeight="1" x14ac:dyDescent="0.25">
      <c r="A105" s="21">
        <v>98</v>
      </c>
      <c r="B105" s="29"/>
      <c r="C105" s="30"/>
      <c r="D105" s="31"/>
      <c r="E105" s="30"/>
      <c r="F105" s="32"/>
      <c r="G105" s="30"/>
      <c r="H105" s="33"/>
      <c r="I105" s="34"/>
      <c r="J105" s="35"/>
      <c r="K105" s="36"/>
    </row>
    <row r="106" spans="1:11" ht="21.75" customHeight="1" x14ac:dyDescent="0.25">
      <c r="A106" s="21">
        <v>99</v>
      </c>
      <c r="B106" s="22"/>
      <c r="C106" s="23"/>
      <c r="D106" s="22"/>
      <c r="E106" s="23"/>
      <c r="F106" s="22"/>
      <c r="G106" s="23"/>
      <c r="H106" s="22"/>
      <c r="I106" s="24"/>
      <c r="J106" s="25"/>
      <c r="K106" s="26"/>
    </row>
    <row r="107" spans="1:11" ht="21.75" customHeight="1" x14ac:dyDescent="0.25">
      <c r="A107" s="21">
        <v>100</v>
      </c>
      <c r="B107" s="29"/>
      <c r="C107" s="30"/>
      <c r="D107" s="31"/>
      <c r="E107" s="30"/>
      <c r="F107" s="32"/>
      <c r="G107" s="30"/>
      <c r="H107" s="33"/>
      <c r="I107" s="34"/>
      <c r="J107" s="35"/>
      <c r="K107" s="36"/>
    </row>
    <row r="108" spans="1:11" ht="21.75" customHeight="1" x14ac:dyDescent="0.25">
      <c r="A108" s="21">
        <v>101</v>
      </c>
      <c r="B108" s="22"/>
      <c r="C108" s="23"/>
      <c r="D108" s="22"/>
      <c r="E108" s="23"/>
      <c r="F108" s="22"/>
      <c r="G108" s="23"/>
      <c r="H108" s="22"/>
      <c r="I108" s="24"/>
      <c r="J108" s="25"/>
      <c r="K108" s="26"/>
    </row>
    <row r="109" spans="1:11" ht="21.75" customHeight="1" x14ac:dyDescent="0.25">
      <c r="A109" s="21">
        <v>102</v>
      </c>
      <c r="B109" s="29"/>
      <c r="C109" s="30"/>
      <c r="D109" s="31"/>
      <c r="E109" s="30"/>
      <c r="F109" s="32"/>
      <c r="G109" s="30"/>
      <c r="H109" s="33"/>
      <c r="I109" s="34"/>
      <c r="J109" s="35"/>
      <c r="K109" s="36"/>
    </row>
    <row r="110" spans="1:11" ht="21.75" customHeight="1" x14ac:dyDescent="0.25">
      <c r="A110" s="21">
        <v>103</v>
      </c>
      <c r="B110" s="22"/>
      <c r="C110" s="23"/>
      <c r="D110" s="22"/>
      <c r="E110" s="23"/>
      <c r="F110" s="22"/>
      <c r="G110" s="23"/>
      <c r="H110" s="22"/>
      <c r="I110" s="24"/>
      <c r="J110" s="25"/>
      <c r="K110" s="26"/>
    </row>
    <row r="111" spans="1:11" ht="21.75" customHeight="1" x14ac:dyDescent="0.25">
      <c r="A111" s="21">
        <v>104</v>
      </c>
      <c r="B111" s="29"/>
      <c r="C111" s="30"/>
      <c r="D111" s="31"/>
      <c r="E111" s="30"/>
      <c r="F111" s="32"/>
      <c r="G111" s="30"/>
      <c r="H111" s="33"/>
      <c r="I111" s="34"/>
      <c r="J111" s="35"/>
      <c r="K111" s="36"/>
    </row>
    <row r="112" spans="1:11" ht="21.75" customHeight="1" x14ac:dyDescent="0.25">
      <c r="A112" s="21">
        <v>105</v>
      </c>
      <c r="B112" s="22"/>
      <c r="C112" s="23"/>
      <c r="D112" s="22"/>
      <c r="E112" s="23"/>
      <c r="F112" s="22"/>
      <c r="G112" s="23"/>
      <c r="H112" s="22"/>
      <c r="I112" s="24"/>
      <c r="J112" s="25"/>
      <c r="K112" s="26"/>
    </row>
    <row r="113" spans="1:11" ht="21.75" customHeight="1" x14ac:dyDescent="0.25">
      <c r="A113" s="21">
        <v>106</v>
      </c>
      <c r="B113" s="29"/>
      <c r="C113" s="30"/>
      <c r="D113" s="31"/>
      <c r="E113" s="30"/>
      <c r="F113" s="32"/>
      <c r="G113" s="30"/>
      <c r="H113" s="33"/>
      <c r="I113" s="34"/>
      <c r="J113" s="35"/>
      <c r="K113" s="36"/>
    </row>
    <row r="114" spans="1:11" ht="21.75" customHeight="1" x14ac:dyDescent="0.25">
      <c r="A114" s="21">
        <v>107</v>
      </c>
      <c r="B114" s="22"/>
      <c r="C114" s="23"/>
      <c r="D114" s="22"/>
      <c r="E114" s="23"/>
      <c r="F114" s="22"/>
      <c r="G114" s="23"/>
      <c r="H114" s="22"/>
      <c r="I114" s="24"/>
      <c r="J114" s="25"/>
      <c r="K114" s="26"/>
    </row>
    <row r="115" spans="1:11" ht="21.75" customHeight="1" x14ac:dyDescent="0.25">
      <c r="A115" s="21">
        <v>108</v>
      </c>
      <c r="B115" s="29"/>
      <c r="C115" s="30"/>
      <c r="D115" s="31"/>
      <c r="E115" s="30"/>
      <c r="F115" s="32"/>
      <c r="G115" s="30"/>
      <c r="H115" s="33"/>
      <c r="I115" s="34"/>
      <c r="J115" s="35"/>
      <c r="K115" s="36"/>
    </row>
    <row r="116" spans="1:11" ht="21.75" customHeight="1" x14ac:dyDescent="0.25">
      <c r="A116" s="21">
        <v>109</v>
      </c>
      <c r="B116" s="22"/>
      <c r="C116" s="23"/>
      <c r="D116" s="22"/>
      <c r="E116" s="23"/>
      <c r="F116" s="22"/>
      <c r="G116" s="23"/>
      <c r="H116" s="22"/>
      <c r="I116" s="24"/>
      <c r="J116" s="25"/>
      <c r="K116" s="26"/>
    </row>
    <row r="117" spans="1:11" ht="21.75" customHeight="1" x14ac:dyDescent="0.25">
      <c r="A117" s="21">
        <v>110</v>
      </c>
      <c r="B117" s="29"/>
      <c r="C117" s="30"/>
      <c r="D117" s="31"/>
      <c r="E117" s="30"/>
      <c r="F117" s="32"/>
      <c r="G117" s="30"/>
      <c r="H117" s="33"/>
      <c r="I117" s="34"/>
      <c r="J117" s="35"/>
      <c r="K117" s="36"/>
    </row>
    <row r="118" spans="1:11" ht="21.75" customHeight="1" x14ac:dyDescent="0.25">
      <c r="A118" s="21">
        <v>111</v>
      </c>
      <c r="B118" s="22"/>
      <c r="C118" s="23"/>
      <c r="D118" s="22"/>
      <c r="E118" s="23"/>
      <c r="F118" s="22"/>
      <c r="G118" s="23"/>
      <c r="H118" s="22"/>
      <c r="I118" s="24"/>
      <c r="J118" s="25"/>
      <c r="K118" s="26"/>
    </row>
    <row r="119" spans="1:11" ht="21.75" customHeight="1" x14ac:dyDescent="0.25">
      <c r="A119" s="21">
        <v>112</v>
      </c>
      <c r="B119" s="29"/>
      <c r="C119" s="30"/>
      <c r="D119" s="31"/>
      <c r="E119" s="30"/>
      <c r="F119" s="32"/>
      <c r="G119" s="30"/>
      <c r="H119" s="33"/>
      <c r="I119" s="34"/>
      <c r="J119" s="35"/>
      <c r="K119" s="36"/>
    </row>
    <row r="120" spans="1:11" ht="21.75" customHeight="1" x14ac:dyDescent="0.25">
      <c r="A120" s="21">
        <v>113</v>
      </c>
      <c r="B120" s="22"/>
      <c r="C120" s="23"/>
      <c r="D120" s="22"/>
      <c r="E120" s="23"/>
      <c r="F120" s="22"/>
      <c r="G120" s="23"/>
      <c r="H120" s="22"/>
      <c r="I120" s="24"/>
      <c r="J120" s="25"/>
      <c r="K120" s="26"/>
    </row>
    <row r="121" spans="1:11" ht="21.75" customHeight="1" x14ac:dyDescent="0.25">
      <c r="A121" s="21">
        <v>114</v>
      </c>
      <c r="B121" s="29"/>
      <c r="C121" s="30"/>
      <c r="D121" s="31"/>
      <c r="E121" s="30"/>
      <c r="F121" s="32"/>
      <c r="G121" s="30"/>
      <c r="H121" s="33"/>
      <c r="I121" s="34"/>
      <c r="J121" s="35"/>
      <c r="K121" s="36"/>
    </row>
    <row r="122" spans="1:11" ht="21.75" customHeight="1" x14ac:dyDescent="0.25">
      <c r="A122" s="21">
        <v>115</v>
      </c>
      <c r="B122" s="22"/>
      <c r="C122" s="23"/>
      <c r="D122" s="22"/>
      <c r="E122" s="23"/>
      <c r="F122" s="22"/>
      <c r="G122" s="23"/>
      <c r="H122" s="22"/>
      <c r="I122" s="24"/>
      <c r="J122" s="25"/>
      <c r="K122" s="26"/>
    </row>
    <row r="123" spans="1:11" ht="21.75" customHeight="1" x14ac:dyDescent="0.25">
      <c r="A123" s="21">
        <v>116</v>
      </c>
      <c r="B123" s="29"/>
      <c r="C123" s="30"/>
      <c r="D123" s="31"/>
      <c r="E123" s="30"/>
      <c r="F123" s="32"/>
      <c r="G123" s="30"/>
      <c r="H123" s="33"/>
      <c r="I123" s="34"/>
      <c r="J123" s="35"/>
      <c r="K123" s="36"/>
    </row>
    <row r="124" spans="1:11" ht="21.75" customHeight="1" x14ac:dyDescent="0.25">
      <c r="A124" s="21">
        <v>117</v>
      </c>
      <c r="B124" s="22"/>
      <c r="C124" s="23"/>
      <c r="D124" s="22"/>
      <c r="E124" s="23"/>
      <c r="F124" s="22"/>
      <c r="G124" s="23"/>
      <c r="H124" s="22"/>
      <c r="I124" s="24"/>
      <c r="J124" s="25"/>
      <c r="K124" s="26"/>
    </row>
    <row r="125" spans="1:11" ht="21.75" customHeight="1" x14ac:dyDescent="0.25">
      <c r="A125" s="21">
        <v>118</v>
      </c>
      <c r="B125" s="29"/>
      <c r="C125" s="30"/>
      <c r="D125" s="31"/>
      <c r="E125" s="30"/>
      <c r="F125" s="32"/>
      <c r="G125" s="30"/>
      <c r="H125" s="33"/>
      <c r="I125" s="34"/>
      <c r="J125" s="35"/>
      <c r="K125" s="36"/>
    </row>
    <row r="126" spans="1:11" ht="21.75" customHeight="1" x14ac:dyDescent="0.25">
      <c r="A126" s="21">
        <v>119</v>
      </c>
      <c r="B126" s="22"/>
      <c r="C126" s="23"/>
      <c r="D126" s="22"/>
      <c r="E126" s="23"/>
      <c r="F126" s="22"/>
      <c r="G126" s="23"/>
      <c r="H126" s="22"/>
      <c r="I126" s="24"/>
      <c r="J126" s="25"/>
      <c r="K126" s="26"/>
    </row>
    <row r="127" spans="1:11" ht="21.75" customHeight="1" x14ac:dyDescent="0.25">
      <c r="A127" s="21">
        <v>120</v>
      </c>
      <c r="B127" s="29"/>
      <c r="C127" s="30"/>
      <c r="D127" s="31"/>
      <c r="E127" s="30"/>
      <c r="F127" s="32"/>
      <c r="G127" s="30"/>
      <c r="H127" s="33"/>
      <c r="I127" s="34"/>
      <c r="J127" s="35"/>
      <c r="K127" s="36"/>
    </row>
    <row r="128" spans="1:11" ht="21.75" customHeight="1" x14ac:dyDescent="0.25">
      <c r="A128" s="21">
        <v>121</v>
      </c>
      <c r="B128" s="22"/>
      <c r="C128" s="23"/>
      <c r="D128" s="22"/>
      <c r="E128" s="23"/>
      <c r="F128" s="22"/>
      <c r="G128" s="23"/>
      <c r="H128" s="22"/>
      <c r="I128" s="24"/>
      <c r="J128" s="25"/>
      <c r="K128" s="26"/>
    </row>
    <row r="129" spans="1:11" ht="21.75" customHeight="1" x14ac:dyDescent="0.25">
      <c r="A129" s="21">
        <v>122</v>
      </c>
      <c r="B129" s="29"/>
      <c r="C129" s="30"/>
      <c r="D129" s="31"/>
      <c r="E129" s="30"/>
      <c r="F129" s="32"/>
      <c r="G129" s="30"/>
      <c r="H129" s="33"/>
      <c r="I129" s="34"/>
      <c r="J129" s="35"/>
      <c r="K129" s="36"/>
    </row>
    <row r="130" spans="1:11" ht="21.75" customHeight="1" x14ac:dyDescent="0.25">
      <c r="A130" s="21">
        <v>123</v>
      </c>
      <c r="B130" s="22"/>
      <c r="C130" s="23"/>
      <c r="D130" s="22"/>
      <c r="E130" s="23"/>
      <c r="F130" s="22"/>
      <c r="G130" s="23"/>
      <c r="H130" s="22"/>
      <c r="I130" s="24"/>
      <c r="J130" s="25"/>
      <c r="K130" s="26"/>
    </row>
    <row r="131" spans="1:11" ht="21.75" customHeight="1" x14ac:dyDescent="0.25">
      <c r="A131" s="21">
        <v>124</v>
      </c>
      <c r="B131" s="29"/>
      <c r="C131" s="30"/>
      <c r="D131" s="31"/>
      <c r="E131" s="30"/>
      <c r="F131" s="32"/>
      <c r="G131" s="30"/>
      <c r="H131" s="33"/>
      <c r="I131" s="34"/>
      <c r="J131" s="35"/>
      <c r="K131" s="36"/>
    </row>
    <row r="132" spans="1:11" ht="21.75" customHeight="1" x14ac:dyDescent="0.25">
      <c r="A132" s="21">
        <v>125</v>
      </c>
      <c r="B132" s="22"/>
      <c r="C132" s="23"/>
      <c r="D132" s="22"/>
      <c r="E132" s="23"/>
      <c r="F132" s="22"/>
      <c r="G132" s="23"/>
      <c r="H132" s="22"/>
      <c r="I132" s="24"/>
      <c r="J132" s="25"/>
      <c r="K132" s="26"/>
    </row>
    <row r="133" spans="1:11" ht="21.75" customHeight="1" x14ac:dyDescent="0.25">
      <c r="A133" s="21">
        <v>126</v>
      </c>
      <c r="B133" s="29"/>
      <c r="C133" s="30"/>
      <c r="D133" s="31"/>
      <c r="E133" s="30"/>
      <c r="F133" s="32"/>
      <c r="G133" s="30"/>
      <c r="H133" s="33"/>
      <c r="I133" s="34"/>
      <c r="J133" s="35"/>
      <c r="K133" s="36"/>
    </row>
    <row r="134" spans="1:11" ht="21.75" customHeight="1" x14ac:dyDescent="0.25">
      <c r="A134" s="21">
        <v>127</v>
      </c>
      <c r="B134" s="22"/>
      <c r="C134" s="23"/>
      <c r="D134" s="22"/>
      <c r="E134" s="23"/>
      <c r="F134" s="22"/>
      <c r="G134" s="23"/>
      <c r="H134" s="22"/>
      <c r="I134" s="24"/>
      <c r="J134" s="25"/>
      <c r="K134" s="26"/>
    </row>
    <row r="135" spans="1:11" ht="21.75" customHeight="1" x14ac:dyDescent="0.25">
      <c r="A135" s="21">
        <v>128</v>
      </c>
      <c r="B135" s="29"/>
      <c r="C135" s="30"/>
      <c r="D135" s="31"/>
      <c r="E135" s="30"/>
      <c r="F135" s="32"/>
      <c r="G135" s="30"/>
      <c r="H135" s="33"/>
      <c r="I135" s="34"/>
      <c r="J135" s="35"/>
      <c r="K135" s="36"/>
    </row>
    <row r="136" spans="1:11" ht="21.75" customHeight="1" x14ac:dyDescent="0.25">
      <c r="A136" s="21">
        <v>129</v>
      </c>
      <c r="B136" s="22"/>
      <c r="C136" s="23"/>
      <c r="D136" s="22"/>
      <c r="E136" s="23"/>
      <c r="F136" s="22"/>
      <c r="G136" s="23"/>
      <c r="H136" s="22"/>
      <c r="I136" s="24"/>
      <c r="J136" s="25"/>
      <c r="K136" s="26"/>
    </row>
    <row r="137" spans="1:11" ht="21.75" customHeight="1" x14ac:dyDescent="0.25">
      <c r="A137" s="21">
        <v>130</v>
      </c>
      <c r="B137" s="29"/>
      <c r="C137" s="30"/>
      <c r="D137" s="31"/>
      <c r="E137" s="30"/>
      <c r="F137" s="32"/>
      <c r="G137" s="30"/>
      <c r="H137" s="33"/>
      <c r="I137" s="34"/>
      <c r="J137" s="35"/>
      <c r="K137" s="36"/>
    </row>
    <row r="138" spans="1:11" ht="21.75" customHeight="1" x14ac:dyDescent="0.25">
      <c r="A138" s="21">
        <v>131</v>
      </c>
      <c r="B138" s="22"/>
      <c r="C138" s="23"/>
      <c r="D138" s="22"/>
      <c r="E138" s="23"/>
      <c r="F138" s="22"/>
      <c r="G138" s="23"/>
      <c r="H138" s="22"/>
      <c r="I138" s="24"/>
      <c r="J138" s="25"/>
      <c r="K138" s="26"/>
    </row>
    <row r="139" spans="1:11" ht="21.75" customHeight="1" x14ac:dyDescent="0.25">
      <c r="A139" s="21">
        <v>132</v>
      </c>
      <c r="B139" s="29"/>
      <c r="C139" s="30"/>
      <c r="D139" s="31"/>
      <c r="E139" s="30"/>
      <c r="F139" s="32"/>
      <c r="G139" s="30"/>
      <c r="H139" s="33"/>
      <c r="I139" s="34"/>
      <c r="J139" s="35"/>
      <c r="K139" s="36"/>
    </row>
    <row r="140" spans="1:11" ht="21.75" customHeight="1" x14ac:dyDescent="0.25">
      <c r="A140" s="21">
        <v>133</v>
      </c>
      <c r="B140" s="22"/>
      <c r="C140" s="23"/>
      <c r="D140" s="22"/>
      <c r="E140" s="23"/>
      <c r="F140" s="22"/>
      <c r="G140" s="23"/>
      <c r="H140" s="22"/>
      <c r="I140" s="24"/>
      <c r="J140" s="25"/>
      <c r="K140" s="26"/>
    </row>
    <row r="141" spans="1:11" ht="21.75" customHeight="1" x14ac:dyDescent="0.25">
      <c r="A141" s="21">
        <v>134</v>
      </c>
      <c r="B141" s="29"/>
      <c r="C141" s="30"/>
      <c r="D141" s="31"/>
      <c r="E141" s="30"/>
      <c r="F141" s="32"/>
      <c r="G141" s="30"/>
      <c r="H141" s="33"/>
      <c r="I141" s="34"/>
      <c r="J141" s="35"/>
      <c r="K141" s="36"/>
    </row>
    <row r="142" spans="1:11" ht="21.75" customHeight="1" x14ac:dyDescent="0.25">
      <c r="A142" s="21">
        <v>135</v>
      </c>
      <c r="B142" s="22"/>
      <c r="C142" s="23"/>
      <c r="D142" s="22"/>
      <c r="E142" s="23"/>
      <c r="F142" s="22"/>
      <c r="G142" s="23"/>
      <c r="H142" s="22"/>
      <c r="I142" s="24"/>
      <c r="J142" s="25"/>
      <c r="K142" s="26"/>
    </row>
    <row r="143" spans="1:11" ht="21.75" customHeight="1" x14ac:dyDescent="0.25">
      <c r="A143" s="21">
        <v>136</v>
      </c>
      <c r="B143" s="29"/>
      <c r="C143" s="30"/>
      <c r="D143" s="31"/>
      <c r="E143" s="30"/>
      <c r="F143" s="32"/>
      <c r="G143" s="30"/>
      <c r="H143" s="33"/>
      <c r="I143" s="34"/>
      <c r="J143" s="35"/>
      <c r="K143" s="36"/>
    </row>
    <row r="144" spans="1:11" ht="21.75" customHeight="1" x14ac:dyDescent="0.25">
      <c r="A144" s="21">
        <v>137</v>
      </c>
      <c r="B144" s="22"/>
      <c r="C144" s="23"/>
      <c r="D144" s="22"/>
      <c r="E144" s="23"/>
      <c r="F144" s="22"/>
      <c r="G144" s="23"/>
      <c r="H144" s="22"/>
      <c r="I144" s="24"/>
      <c r="J144" s="25"/>
      <c r="K144" s="26"/>
    </row>
    <row r="145" spans="1:11" ht="21.75" customHeight="1" x14ac:dyDescent="0.25">
      <c r="A145" s="21">
        <v>138</v>
      </c>
      <c r="B145" s="29"/>
      <c r="C145" s="30"/>
      <c r="D145" s="31"/>
      <c r="E145" s="30"/>
      <c r="F145" s="32"/>
      <c r="G145" s="30"/>
      <c r="H145" s="33"/>
      <c r="I145" s="34"/>
      <c r="J145" s="35"/>
      <c r="K145" s="36"/>
    </row>
    <row r="146" spans="1:11" ht="21.75" customHeight="1" x14ac:dyDescent="0.25">
      <c r="A146" s="21">
        <v>139</v>
      </c>
      <c r="B146" s="22"/>
      <c r="C146" s="23"/>
      <c r="D146" s="22"/>
      <c r="E146" s="23"/>
      <c r="F146" s="22"/>
      <c r="G146" s="23"/>
      <c r="H146" s="22"/>
      <c r="I146" s="24"/>
      <c r="J146" s="25"/>
      <c r="K146" s="26"/>
    </row>
    <row r="147" spans="1:11" ht="21.75" customHeight="1" x14ac:dyDescent="0.25">
      <c r="A147" s="21">
        <v>140</v>
      </c>
      <c r="B147" s="29"/>
      <c r="C147" s="30"/>
      <c r="D147" s="31"/>
      <c r="E147" s="30"/>
      <c r="F147" s="32"/>
      <c r="G147" s="30"/>
      <c r="H147" s="33"/>
      <c r="I147" s="34"/>
      <c r="J147" s="35"/>
      <c r="K147" s="36"/>
    </row>
    <row r="148" spans="1:11" ht="21.75" customHeight="1" x14ac:dyDescent="0.25">
      <c r="A148" s="21">
        <v>141</v>
      </c>
      <c r="B148" s="22"/>
      <c r="C148" s="23"/>
      <c r="D148" s="22"/>
      <c r="E148" s="23"/>
      <c r="F148" s="22"/>
      <c r="G148" s="23"/>
      <c r="H148" s="22"/>
      <c r="I148" s="24"/>
      <c r="J148" s="25"/>
      <c r="K148" s="26"/>
    </row>
    <row r="149" spans="1:11" ht="21.75" customHeight="1" x14ac:dyDescent="0.25">
      <c r="A149" s="21">
        <v>142</v>
      </c>
      <c r="B149" s="29"/>
      <c r="C149" s="30"/>
      <c r="D149" s="31"/>
      <c r="E149" s="30"/>
      <c r="F149" s="32"/>
      <c r="G149" s="30"/>
      <c r="H149" s="33"/>
      <c r="I149" s="34"/>
      <c r="J149" s="35"/>
      <c r="K149" s="36"/>
    </row>
    <row r="150" spans="1:11" ht="21.75" customHeight="1" x14ac:dyDescent="0.25">
      <c r="A150" s="21">
        <v>143</v>
      </c>
      <c r="B150" s="22"/>
      <c r="C150" s="23"/>
      <c r="D150" s="22"/>
      <c r="E150" s="23"/>
      <c r="F150" s="22"/>
      <c r="G150" s="23"/>
      <c r="H150" s="22"/>
      <c r="I150" s="24"/>
      <c r="J150" s="25"/>
      <c r="K150" s="26"/>
    </row>
    <row r="151" spans="1:11" ht="21.75" customHeight="1" x14ac:dyDescent="0.25">
      <c r="A151" s="21">
        <v>144</v>
      </c>
      <c r="B151" s="29"/>
      <c r="C151" s="30"/>
      <c r="D151" s="31"/>
      <c r="E151" s="30"/>
      <c r="F151" s="32"/>
      <c r="G151" s="30"/>
      <c r="H151" s="33"/>
      <c r="I151" s="34"/>
      <c r="J151" s="35"/>
      <c r="K151" s="36"/>
    </row>
    <row r="152" spans="1:11" ht="21.75" customHeight="1" x14ac:dyDescent="0.25">
      <c r="A152" s="21">
        <v>145</v>
      </c>
      <c r="B152" s="22"/>
      <c r="C152" s="23"/>
      <c r="D152" s="22"/>
      <c r="E152" s="23"/>
      <c r="F152" s="22"/>
      <c r="G152" s="23"/>
      <c r="H152" s="22"/>
      <c r="I152" s="24"/>
      <c r="J152" s="25"/>
      <c r="K152" s="26"/>
    </row>
    <row r="153" spans="1:11" ht="21.75" customHeight="1" x14ac:dyDescent="0.25">
      <c r="A153" s="21">
        <v>146</v>
      </c>
      <c r="B153" s="29"/>
      <c r="C153" s="30"/>
      <c r="D153" s="31"/>
      <c r="E153" s="30"/>
      <c r="F153" s="32"/>
      <c r="G153" s="30"/>
      <c r="H153" s="33"/>
      <c r="I153" s="34"/>
      <c r="J153" s="35"/>
      <c r="K153" s="36"/>
    </row>
    <row r="154" spans="1:11" ht="21.75" customHeight="1" x14ac:dyDescent="0.25">
      <c r="A154" s="21">
        <v>147</v>
      </c>
      <c r="B154" s="22"/>
      <c r="C154" s="23"/>
      <c r="D154" s="22"/>
      <c r="E154" s="23"/>
      <c r="F154" s="22"/>
      <c r="G154" s="23"/>
      <c r="H154" s="22"/>
      <c r="I154" s="24"/>
      <c r="J154" s="25"/>
      <c r="K154" s="26"/>
    </row>
    <row r="155" spans="1:11" ht="21.75" customHeight="1" x14ac:dyDescent="0.25">
      <c r="A155" s="21">
        <v>148</v>
      </c>
      <c r="B155" s="29"/>
      <c r="C155" s="30"/>
      <c r="D155" s="31"/>
      <c r="E155" s="30"/>
      <c r="F155" s="32"/>
      <c r="G155" s="30"/>
      <c r="H155" s="33"/>
      <c r="I155" s="34"/>
      <c r="J155" s="35"/>
      <c r="K155" s="36"/>
    </row>
    <row r="156" spans="1:11" ht="21.75" customHeight="1" x14ac:dyDescent="0.25">
      <c r="A156" s="21">
        <v>149</v>
      </c>
      <c r="B156" s="22"/>
      <c r="C156" s="23"/>
      <c r="D156" s="22"/>
      <c r="E156" s="23"/>
      <c r="F156" s="22"/>
      <c r="G156" s="23"/>
      <c r="H156" s="22"/>
      <c r="I156" s="24"/>
      <c r="J156" s="25"/>
      <c r="K156" s="26"/>
    </row>
    <row r="157" spans="1:11" ht="21.75" customHeight="1" x14ac:dyDescent="0.25">
      <c r="A157" s="21">
        <v>150</v>
      </c>
      <c r="B157" s="29"/>
      <c r="C157" s="30"/>
      <c r="D157" s="31"/>
      <c r="E157" s="30"/>
      <c r="F157" s="32"/>
      <c r="G157" s="30"/>
      <c r="H157" s="33"/>
      <c r="I157" s="34"/>
      <c r="J157" s="35"/>
      <c r="K157" s="36"/>
    </row>
  </sheetData>
  <mergeCells count="19">
    <mergeCell ref="A1:N1"/>
    <mergeCell ref="A3:B3"/>
    <mergeCell ref="C3:E3"/>
    <mergeCell ref="F3:G3"/>
    <mergeCell ref="H3:I3"/>
    <mergeCell ref="A4:B4"/>
    <mergeCell ref="C4:N4"/>
    <mergeCell ref="B5:C5"/>
    <mergeCell ref="D5:E5"/>
    <mergeCell ref="F5:G5"/>
    <mergeCell ref="I5:K5"/>
    <mergeCell ref="M5:N5"/>
    <mergeCell ref="M29:N29"/>
    <mergeCell ref="M34:N40"/>
    <mergeCell ref="M6:N6"/>
    <mergeCell ref="I7:K7"/>
    <mergeCell ref="M11:N11"/>
    <mergeCell ref="M16:N16"/>
    <mergeCell ref="M25:N25"/>
  </mergeCells>
  <conditionalFormatting sqref="B8:H157">
    <cfRule type="expression" dxfId="7" priority="6">
      <formula>$J8="No recibido"</formula>
    </cfRule>
  </conditionalFormatting>
  <conditionalFormatting sqref="C8:C157">
    <cfRule type="expression" dxfId="6" priority="7">
      <formula>AND(C8&lt;&gt;"",C8&gt;B8)</formula>
    </cfRule>
  </conditionalFormatting>
  <conditionalFormatting sqref="C4:N4">
    <cfRule type="expression" dxfId="5" priority="2">
      <formula>LEN(TRIM($C$4))=0</formula>
    </cfRule>
  </conditionalFormatting>
  <conditionalFormatting sqref="E8:E157">
    <cfRule type="expression" dxfId="4" priority="8">
      <formula>AND(E8&lt;&gt;"",E8&gt;D8)</formula>
    </cfRule>
  </conditionalFormatting>
  <conditionalFormatting sqref="G8:G157">
    <cfRule type="expression" dxfId="3" priority="9">
      <formula>AND(G8&lt;&gt;"",G8&gt;F8)</formula>
    </cfRule>
  </conditionalFormatting>
  <conditionalFormatting sqref="I8:K157">
    <cfRule type="expression" dxfId="2" priority="3">
      <formula>$J8="No recibido"</formula>
    </cfRule>
    <cfRule type="expression" dxfId="1" priority="4">
      <formula>$J8="Con cambio"</formula>
    </cfRule>
    <cfRule type="expression" dxfId="0" priority="5">
      <formula>$J8="Error corregido"</formula>
    </cfRule>
  </conditionalFormatting>
  <dataValidations count="7">
    <dataValidation type="textLength" operator="greaterThan" allowBlank="1" showInputMessage="1" promptTitle="Cajero" prompt="Escribe aquí el nombre del cajero que usa esta planilla." sqref="C4" xr:uid="{00000000-0002-0000-0000-000000000000}">
      <formula1>0</formula1>
      <formula2>0</formula2>
    </dataValidation>
    <dataValidation type="decimal" operator="greaterThanOrEqual" allowBlank="1" showErrorMessage="1" errorTitle="Monto no válido" error="Escribe solo el monto en números, sin puntos ni letras (ej: 8000)." sqref="B8:H157" xr:uid="{00000000-0002-0000-0000-000001000000}">
      <formula1>0</formula1>
      <formula2>0</formula2>
    </dataValidation>
    <dataValidation type="decimal" operator="greaterThanOrEqual" showErrorMessage="1" errorTitle="Monto no válido" error="Escribe un monto en números." sqref="H3 N3" xr:uid="{00000000-0002-0000-0000-000002000000}">
      <formula1>0</formula1>
      <formula2>0</formula2>
    </dataValidation>
    <dataValidation type="date" operator="greaterThan" showErrorMessage="1" errorTitle="Fecha no válida" error="Escribe una fecha, ej: 29/09/2026." sqref="C3" xr:uid="{00000000-0002-0000-0000-000003000000}">
      <formula1>36526</formula1>
      <formula2>0</formula2>
    </dataValidation>
    <dataValidation type="textLength" errorStyle="warning" operator="lessThanOrEqual" allowBlank="1" showInputMessage="1" showErrorMessage="1" errorTitle="Muy largo" error="Máximo 30 caracteres." promptTitle="Pedido (opcional)" prompt="Teléfono del cliente, ej: +569 3536 2025. Puedes dejarlo vacío." sqref="I8:I157" xr:uid="{00000000-0002-0000-0000-000004000000}">
      <formula1>30</formula1>
      <formula2>0</formula2>
    </dataValidation>
    <dataValidation type="list" errorStyle="warning" allowBlank="1" showInputMessage="1" showErrorMessage="1" errorTitle="Estado" error="Elige una opción de la lista." promptTitle="Estado (opcional)" prompt="Solo si hubo algo con el pedido. Ojo: No recibido anula la venta y la saca de todos los totales." sqref="J8:J157" xr:uid="{00000000-0002-0000-0000-000005000000}">
      <formula1>"Con cambio,Error corregido,No recibido"</formula1>
      <formula2>0</formula2>
    </dataValidation>
    <dataValidation type="textLength" errorStyle="warning" operator="lessThanOrEqual" allowBlank="1" showInputMessage="1" showErrorMessage="1" errorTitle="Muy largo" error="Máximo 250 caracteres." promptTitle="Notas (opcional)" prompt="Anota cambios, errores o si no recibieron el pedido." sqref="K8:K157" xr:uid="{00000000-0002-0000-0000-000006000000}">
      <formula1>250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showGridLines="0" zoomScaleNormal="100" workbookViewId="0">
      <selection activeCell="F8" sqref="F8"/>
    </sheetView>
  </sheetViews>
  <sheetFormatPr baseColWidth="10" defaultColWidth="8.7109375" defaultRowHeight="15" x14ac:dyDescent="0.25"/>
  <cols>
    <col min="1" max="1" width="6" customWidth="1"/>
    <col min="2" max="2" width="95" customWidth="1"/>
  </cols>
  <sheetData>
    <row r="1" spans="1:2" ht="33.75" customHeight="1" x14ac:dyDescent="0.25">
      <c r="A1" s="70" t="s">
        <v>39</v>
      </c>
      <c r="B1" s="70"/>
    </row>
    <row r="3" spans="1:2" ht="31.5" customHeight="1" x14ac:dyDescent="0.25">
      <c r="A3" s="12">
        <v>1</v>
      </c>
      <c r="B3" s="53" t="s">
        <v>40</v>
      </c>
    </row>
    <row r="4" spans="1:2" ht="31.5" customHeight="1" x14ac:dyDescent="0.25">
      <c r="A4" s="12">
        <v>2</v>
      </c>
      <c r="B4" s="53" t="s">
        <v>41</v>
      </c>
    </row>
    <row r="5" spans="1:2" ht="31.5" customHeight="1" x14ac:dyDescent="0.25">
      <c r="A5" s="12">
        <v>3</v>
      </c>
      <c r="B5" s="53" t="s">
        <v>42</v>
      </c>
    </row>
    <row r="6" spans="1:2" ht="60" customHeight="1" x14ac:dyDescent="0.25">
      <c r="A6" s="12">
        <v>4</v>
      </c>
      <c r="B6" s="53" t="s">
        <v>43</v>
      </c>
    </row>
    <row r="7" spans="1:2" ht="31.5" customHeight="1" x14ac:dyDescent="0.25">
      <c r="A7" s="12">
        <v>5</v>
      </c>
      <c r="B7" s="53" t="s">
        <v>44</v>
      </c>
    </row>
    <row r="8" spans="1:2" ht="31.5" customHeight="1" x14ac:dyDescent="0.25">
      <c r="A8" s="12">
        <v>6</v>
      </c>
      <c r="B8" s="53" t="s">
        <v>45</v>
      </c>
    </row>
    <row r="9" spans="1:2" ht="31.5" customHeight="1" x14ac:dyDescent="0.25">
      <c r="A9" s="12">
        <v>7</v>
      </c>
      <c r="B9" s="53" t="s">
        <v>46</v>
      </c>
    </row>
    <row r="10" spans="1:2" ht="31.5" customHeight="1" x14ac:dyDescent="0.25">
      <c r="A10" s="12">
        <v>8</v>
      </c>
      <c r="B10" s="53" t="s">
        <v>47</v>
      </c>
    </row>
    <row r="12" spans="1:2" ht="15" customHeight="1" x14ac:dyDescent="0.25">
      <c r="A12" s="71" t="s">
        <v>48</v>
      </c>
      <c r="B12" s="71"/>
    </row>
    <row r="13" spans="1:2" ht="45.75" customHeight="1" x14ac:dyDescent="0.25">
      <c r="A13" s="72" t="s">
        <v>49</v>
      </c>
      <c r="B13" s="72"/>
    </row>
    <row r="15" spans="1:2" ht="15" customHeight="1" x14ac:dyDescent="0.25">
      <c r="A15" s="73" t="s">
        <v>50</v>
      </c>
      <c r="B15" s="73"/>
    </row>
    <row r="16" spans="1:2" ht="63.75" customHeight="1" x14ac:dyDescent="0.25">
      <c r="A16" s="74" t="s">
        <v>51</v>
      </c>
      <c r="B16" s="74"/>
    </row>
  </sheetData>
  <mergeCells count="5">
    <mergeCell ref="A1:B1"/>
    <mergeCell ref="A12:B12"/>
    <mergeCell ref="A13:B13"/>
    <mergeCell ref="A15:B15"/>
    <mergeCell ref="A16:B1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Ventas</vt:lpstr>
      <vt:lpstr>Cómo usar</vt:lpstr>
      <vt:lpstr>Ventas!Área_de_impresión</vt:lpstr>
      <vt:lpstr>Ventas!Títulos_a_imprimir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</cp:lastModifiedBy>
  <cp:revision>0</cp:revision>
  <dcterms:created xsi:type="dcterms:W3CDTF">2026-09-29T08:31:48Z</dcterms:created>
  <dcterms:modified xsi:type="dcterms:W3CDTF">2026-09-29T08:38:43Z</dcterms:modified>
  <dc:language>en-US</dc:language>
</cp:coreProperties>
</file>